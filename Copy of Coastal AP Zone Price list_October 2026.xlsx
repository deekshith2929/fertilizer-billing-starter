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rinivasarao\Desktop\oct\"/>
    </mc:Choice>
  </mc:AlternateContent>
  <xr:revisionPtr revIDLastSave="0" documentId="8_{546321FA-146E-47EB-A8E7-29C1B7A8445B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01.10.2026" sheetId="57" r:id="rId1"/>
  </sheets>
  <definedNames>
    <definedName name="_xlnm._FilterDatabase" localSheetId="0" hidden="1">'01.10.2026'!$A$5:$P$459</definedName>
    <definedName name="_xlnm.Print_Titles" localSheetId="0">'01.10.2026'!$3:$5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52" i="57" l="1"/>
  <c r="M452" i="57" s="1"/>
  <c r="L453" i="57"/>
  <c r="M453" i="57" s="1"/>
  <c r="L454" i="57"/>
  <c r="M454" i="57" s="1"/>
  <c r="L455" i="57"/>
  <c r="M455" i="57" s="1"/>
  <c r="L456" i="57"/>
  <c r="M456" i="57" s="1"/>
  <c r="L457" i="57"/>
  <c r="M457" i="57" s="1"/>
  <c r="L458" i="57"/>
  <c r="M458" i="57" s="1"/>
  <c r="L459" i="57"/>
  <c r="M459" i="57" s="1"/>
  <c r="L451" i="57" l="1"/>
  <c r="M451" i="57" s="1"/>
  <c r="L445" i="57" l="1"/>
  <c r="M445" i="57" s="1"/>
  <c r="L446" i="57"/>
  <c r="M446" i="57" s="1"/>
  <c r="L447" i="57"/>
  <c r="M447" i="57" s="1"/>
  <c r="L448" i="57"/>
  <c r="M448" i="57" s="1"/>
  <c r="L449" i="57"/>
  <c r="M449" i="57" s="1"/>
  <c r="L450" i="57"/>
  <c r="M450" i="57" s="1"/>
  <c r="L169" i="57" l="1"/>
  <c r="M169" i="57" s="1"/>
  <c r="L170" i="57"/>
  <c r="M170" i="57" s="1"/>
  <c r="L398" i="57"/>
  <c r="M398" i="57" s="1"/>
  <c r="L442" i="57" l="1"/>
  <c r="M442" i="57" s="1"/>
  <c r="L443" i="57"/>
  <c r="M443" i="57" s="1"/>
  <c r="L444" i="57"/>
  <c r="M444" i="57" s="1"/>
  <c r="L271" i="57" l="1"/>
  <c r="M271" i="57" s="1"/>
  <c r="L270" i="57"/>
  <c r="M270" i="57" s="1"/>
  <c r="L269" i="57"/>
  <c r="M269" i="57" s="1"/>
  <c r="L323" i="57"/>
  <c r="M323" i="57" s="1"/>
  <c r="L322" i="57"/>
  <c r="M322" i="57" s="1"/>
  <c r="L321" i="57"/>
  <c r="M321" i="57" s="1"/>
  <c r="L320" i="57"/>
  <c r="M320" i="57" s="1"/>
  <c r="L319" i="57"/>
  <c r="M319" i="57" s="1"/>
  <c r="L318" i="57"/>
  <c r="M318" i="57" s="1"/>
  <c r="L317" i="57"/>
  <c r="M317" i="57" s="1"/>
  <c r="L316" i="57"/>
  <c r="M316" i="57" s="1"/>
  <c r="L315" i="57"/>
  <c r="M315" i="57" s="1"/>
  <c r="L314" i="57"/>
  <c r="M314" i="57" s="1"/>
  <c r="L313" i="57"/>
  <c r="M313" i="57" s="1"/>
  <c r="L247" i="57"/>
  <c r="M247" i="57" s="1"/>
  <c r="L246" i="57"/>
  <c r="M246" i="57" s="1"/>
  <c r="L245" i="57"/>
  <c r="M245" i="57" s="1"/>
  <c r="L244" i="57"/>
  <c r="M244" i="57" s="1"/>
  <c r="L243" i="57"/>
  <c r="M243" i="57" s="1"/>
  <c r="L242" i="57"/>
  <c r="M242" i="57" s="1"/>
  <c r="L241" i="57"/>
  <c r="M241" i="57" s="1"/>
  <c r="L240" i="57"/>
  <c r="M240" i="57" s="1"/>
  <c r="L432" i="57"/>
  <c r="M432" i="57" s="1"/>
  <c r="L433" i="57"/>
  <c r="M433" i="57" s="1"/>
  <c r="L434" i="57"/>
  <c r="M434" i="57" s="1"/>
  <c r="L435" i="57"/>
  <c r="M435" i="57" s="1"/>
  <c r="L436" i="57"/>
  <c r="M436" i="57" s="1"/>
  <c r="L437" i="57"/>
  <c r="M437" i="57" s="1"/>
  <c r="L438" i="57"/>
  <c r="M438" i="57" s="1"/>
  <c r="L439" i="57"/>
  <c r="M439" i="57" s="1"/>
  <c r="L440" i="57"/>
  <c r="M440" i="57" s="1"/>
  <c r="L441" i="57"/>
  <c r="M441" i="57" s="1"/>
  <c r="L39" i="57" l="1"/>
  <c r="M39" i="57" s="1"/>
  <c r="L431" i="57" l="1"/>
  <c r="M431" i="57" s="1"/>
  <c r="L430" i="57"/>
  <c r="M430" i="57" s="1"/>
  <c r="L429" i="57"/>
  <c r="M429" i="57" s="1"/>
  <c r="L428" i="57"/>
  <c r="M428" i="57" s="1"/>
  <c r="L427" i="57"/>
  <c r="M427" i="57" s="1"/>
  <c r="L426" i="57"/>
  <c r="M426" i="57" s="1"/>
  <c r="L425" i="57"/>
  <c r="M425" i="57" s="1"/>
  <c r="L424" i="57"/>
  <c r="M424" i="57" s="1"/>
  <c r="L423" i="57"/>
  <c r="M423" i="57" s="1"/>
  <c r="L422" i="57"/>
  <c r="M422" i="57" s="1"/>
  <c r="L421" i="57"/>
  <c r="M421" i="57" s="1"/>
  <c r="L420" i="57"/>
  <c r="M420" i="57" s="1"/>
  <c r="L419" i="57"/>
  <c r="M419" i="57" s="1"/>
  <c r="L418" i="57"/>
  <c r="M418" i="57" s="1"/>
  <c r="L417" i="57"/>
  <c r="M417" i="57" s="1"/>
  <c r="L416" i="57"/>
  <c r="M416" i="57" s="1"/>
  <c r="L415" i="57"/>
  <c r="M415" i="57" s="1"/>
  <c r="L414" i="57"/>
  <c r="M414" i="57" s="1"/>
  <c r="L413" i="57"/>
  <c r="M413" i="57" s="1"/>
  <c r="L412" i="57"/>
  <c r="M412" i="57" s="1"/>
  <c r="L411" i="57"/>
  <c r="M411" i="57" s="1"/>
  <c r="L410" i="57"/>
  <c r="M410" i="57" s="1"/>
  <c r="L409" i="57"/>
  <c r="M409" i="57" s="1"/>
  <c r="L408" i="57"/>
  <c r="M408" i="57" s="1"/>
  <c r="L407" i="57"/>
  <c r="M407" i="57" s="1"/>
  <c r="L406" i="57"/>
  <c r="M406" i="57" s="1"/>
  <c r="L405" i="57"/>
  <c r="M405" i="57" s="1"/>
  <c r="L404" i="57"/>
  <c r="M404" i="57" s="1"/>
  <c r="L403" i="57"/>
  <c r="M403" i="57" s="1"/>
  <c r="L402" i="57"/>
  <c r="M402" i="57" s="1"/>
  <c r="L401" i="57"/>
  <c r="M401" i="57" s="1"/>
  <c r="L400" i="57"/>
  <c r="M400" i="57" s="1"/>
  <c r="L399" i="57"/>
  <c r="M399" i="57" s="1"/>
  <c r="L397" i="57"/>
  <c r="M397" i="57" s="1"/>
  <c r="L396" i="57"/>
  <c r="M396" i="57" s="1"/>
  <c r="L395" i="57"/>
  <c r="M395" i="57" s="1"/>
  <c r="L394" i="57"/>
  <c r="M394" i="57" s="1"/>
  <c r="L393" i="57"/>
  <c r="M393" i="57" s="1"/>
  <c r="L392" i="57"/>
  <c r="M392" i="57" s="1"/>
  <c r="L391" i="57"/>
  <c r="M391" i="57" s="1"/>
  <c r="L390" i="57"/>
  <c r="M390" i="57" s="1"/>
  <c r="L389" i="57"/>
  <c r="M389" i="57" s="1"/>
  <c r="L388" i="57"/>
  <c r="M388" i="57" s="1"/>
  <c r="L387" i="57"/>
  <c r="M387" i="57" s="1"/>
  <c r="L386" i="57"/>
  <c r="M386" i="57" s="1"/>
  <c r="L385" i="57"/>
  <c r="M385" i="57" s="1"/>
  <c r="L384" i="57"/>
  <c r="M384" i="57" s="1"/>
  <c r="L383" i="57"/>
  <c r="M383" i="57" s="1"/>
  <c r="L382" i="57"/>
  <c r="M382" i="57" s="1"/>
  <c r="L381" i="57"/>
  <c r="M381" i="57" s="1"/>
  <c r="L380" i="57"/>
  <c r="M380" i="57" s="1"/>
  <c r="L379" i="57"/>
  <c r="M379" i="57" s="1"/>
  <c r="L378" i="57"/>
  <c r="M378" i="57" s="1"/>
  <c r="L377" i="57"/>
  <c r="M377" i="57" s="1"/>
  <c r="L376" i="57"/>
  <c r="M376" i="57" s="1"/>
  <c r="L375" i="57"/>
  <c r="M375" i="57" s="1"/>
  <c r="L374" i="57"/>
  <c r="M374" i="57" s="1"/>
  <c r="L373" i="57"/>
  <c r="M373" i="57" s="1"/>
  <c r="L372" i="57"/>
  <c r="M372" i="57" s="1"/>
  <c r="L371" i="57"/>
  <c r="M371" i="57" s="1"/>
  <c r="L370" i="57"/>
  <c r="M370" i="57" s="1"/>
  <c r="L369" i="57"/>
  <c r="M369" i="57" s="1"/>
  <c r="L368" i="57"/>
  <c r="M368" i="57" s="1"/>
  <c r="L367" i="57"/>
  <c r="M367" i="57" s="1"/>
  <c r="L366" i="57"/>
  <c r="M366" i="57" s="1"/>
  <c r="L365" i="57"/>
  <c r="M365" i="57" s="1"/>
  <c r="L364" i="57"/>
  <c r="M364" i="57" s="1"/>
  <c r="L363" i="57"/>
  <c r="M363" i="57" s="1"/>
  <c r="L362" i="57"/>
  <c r="M362" i="57" s="1"/>
  <c r="L361" i="57"/>
  <c r="M361" i="57" s="1"/>
  <c r="L360" i="57"/>
  <c r="M360" i="57" s="1"/>
  <c r="L359" i="57"/>
  <c r="M359" i="57" s="1"/>
  <c r="L358" i="57"/>
  <c r="M358" i="57" s="1"/>
  <c r="L357" i="57"/>
  <c r="M357" i="57" s="1"/>
  <c r="L356" i="57"/>
  <c r="M356" i="57" s="1"/>
  <c r="L355" i="57"/>
  <c r="M355" i="57" s="1"/>
  <c r="L354" i="57"/>
  <c r="M354" i="57" s="1"/>
  <c r="L353" i="57"/>
  <c r="M353" i="57" s="1"/>
  <c r="L352" i="57"/>
  <c r="M352" i="57" s="1"/>
  <c r="L351" i="57"/>
  <c r="M351" i="57" s="1"/>
  <c r="L350" i="57"/>
  <c r="M350" i="57" s="1"/>
  <c r="L349" i="57"/>
  <c r="M349" i="57" s="1"/>
  <c r="L348" i="57"/>
  <c r="M348" i="57" s="1"/>
  <c r="L347" i="57"/>
  <c r="M347" i="57" s="1"/>
  <c r="L346" i="57"/>
  <c r="M346" i="57" s="1"/>
  <c r="L345" i="57"/>
  <c r="M345" i="57" s="1"/>
  <c r="L344" i="57"/>
  <c r="M344" i="57" s="1"/>
  <c r="L343" i="57"/>
  <c r="M343" i="57" s="1"/>
  <c r="L342" i="57"/>
  <c r="M342" i="57" s="1"/>
  <c r="L341" i="57"/>
  <c r="M341" i="57" s="1"/>
  <c r="L340" i="57"/>
  <c r="M340" i="57" s="1"/>
  <c r="L339" i="57"/>
  <c r="M339" i="57" s="1"/>
  <c r="L338" i="57"/>
  <c r="M338" i="57" s="1"/>
  <c r="L337" i="57"/>
  <c r="M337" i="57" s="1"/>
  <c r="L336" i="57"/>
  <c r="M336" i="57" s="1"/>
  <c r="L335" i="57"/>
  <c r="M335" i="57" s="1"/>
  <c r="L334" i="57"/>
  <c r="M334" i="57" s="1"/>
  <c r="L333" i="57"/>
  <c r="M333" i="57" s="1"/>
  <c r="L332" i="57"/>
  <c r="M332" i="57" s="1"/>
  <c r="L331" i="57"/>
  <c r="M331" i="57" s="1"/>
  <c r="L330" i="57"/>
  <c r="M330" i="57" s="1"/>
  <c r="L329" i="57"/>
  <c r="M329" i="57" s="1"/>
  <c r="L328" i="57"/>
  <c r="M328" i="57" s="1"/>
  <c r="L327" i="57"/>
  <c r="M327" i="57" s="1"/>
  <c r="L326" i="57"/>
  <c r="M326" i="57" s="1"/>
  <c r="L325" i="57"/>
  <c r="M325" i="57" s="1"/>
  <c r="L324" i="57"/>
  <c r="M324" i="57" s="1"/>
  <c r="L312" i="57"/>
  <c r="M312" i="57" s="1"/>
  <c r="L311" i="57"/>
  <c r="M311" i="57" s="1"/>
  <c r="L310" i="57"/>
  <c r="M310" i="57" s="1"/>
  <c r="L309" i="57"/>
  <c r="M309" i="57" s="1"/>
  <c r="L308" i="57"/>
  <c r="M308" i="57" s="1"/>
  <c r="L307" i="57"/>
  <c r="M307" i="57" s="1"/>
  <c r="L306" i="57"/>
  <c r="M306" i="57" s="1"/>
  <c r="L305" i="57"/>
  <c r="M305" i="57" s="1"/>
  <c r="L304" i="57"/>
  <c r="M304" i="57" s="1"/>
  <c r="L303" i="57"/>
  <c r="M303" i="57" s="1"/>
  <c r="L302" i="57"/>
  <c r="M302" i="57" s="1"/>
  <c r="L301" i="57"/>
  <c r="M301" i="57" s="1"/>
  <c r="L300" i="57"/>
  <c r="M300" i="57" s="1"/>
  <c r="L299" i="57"/>
  <c r="M299" i="57" s="1"/>
  <c r="L298" i="57"/>
  <c r="M298" i="57" s="1"/>
  <c r="L297" i="57"/>
  <c r="M297" i="57" s="1"/>
  <c r="L296" i="57"/>
  <c r="M296" i="57" s="1"/>
  <c r="L295" i="57"/>
  <c r="M295" i="57" s="1"/>
  <c r="L294" i="57"/>
  <c r="M294" i="57" s="1"/>
  <c r="L293" i="57"/>
  <c r="M293" i="57" s="1"/>
  <c r="L292" i="57"/>
  <c r="M292" i="57" s="1"/>
  <c r="L291" i="57"/>
  <c r="M291" i="57" s="1"/>
  <c r="L290" i="57"/>
  <c r="M290" i="57" s="1"/>
  <c r="L289" i="57"/>
  <c r="M289" i="57" s="1"/>
  <c r="L288" i="57"/>
  <c r="M288" i="57" s="1"/>
  <c r="L287" i="57"/>
  <c r="M287" i="57" s="1"/>
  <c r="L286" i="57"/>
  <c r="M286" i="57" s="1"/>
  <c r="L285" i="57"/>
  <c r="M285" i="57" s="1"/>
  <c r="L284" i="57"/>
  <c r="M284" i="57" s="1"/>
  <c r="L283" i="57"/>
  <c r="M283" i="57" s="1"/>
  <c r="L282" i="57"/>
  <c r="M282" i="57" s="1"/>
  <c r="L281" i="57"/>
  <c r="M281" i="57" s="1"/>
  <c r="L280" i="57"/>
  <c r="M280" i="57" s="1"/>
  <c r="L279" i="57"/>
  <c r="M279" i="57" s="1"/>
  <c r="L278" i="57"/>
  <c r="M278" i="57" s="1"/>
  <c r="L277" i="57"/>
  <c r="M277" i="57" s="1"/>
  <c r="L276" i="57"/>
  <c r="M276" i="57" s="1"/>
  <c r="L275" i="57"/>
  <c r="M275" i="57" s="1"/>
  <c r="L274" i="57"/>
  <c r="M274" i="57" s="1"/>
  <c r="L273" i="57"/>
  <c r="M273" i="57" s="1"/>
  <c r="L272" i="57"/>
  <c r="M272" i="57" s="1"/>
  <c r="L268" i="57"/>
  <c r="M268" i="57" s="1"/>
  <c r="L267" i="57"/>
  <c r="M267" i="57" s="1"/>
  <c r="L266" i="57"/>
  <c r="M266" i="57" s="1"/>
  <c r="L265" i="57"/>
  <c r="M265" i="57" s="1"/>
  <c r="L264" i="57"/>
  <c r="M264" i="57" s="1"/>
  <c r="L263" i="57"/>
  <c r="M263" i="57" s="1"/>
  <c r="L262" i="57"/>
  <c r="M262" i="57" s="1"/>
  <c r="L261" i="57"/>
  <c r="M261" i="57" s="1"/>
  <c r="L260" i="57"/>
  <c r="M260" i="57" s="1"/>
  <c r="L259" i="57"/>
  <c r="M259" i="57" s="1"/>
  <c r="L258" i="57"/>
  <c r="M258" i="57" s="1"/>
  <c r="L257" i="57"/>
  <c r="M257" i="57" s="1"/>
  <c r="L256" i="57"/>
  <c r="M256" i="57" s="1"/>
  <c r="L255" i="57"/>
  <c r="M255" i="57" s="1"/>
  <c r="L254" i="57"/>
  <c r="M254" i="57" s="1"/>
  <c r="L253" i="57"/>
  <c r="M253" i="57" s="1"/>
  <c r="L252" i="57"/>
  <c r="M252" i="57" s="1"/>
  <c r="L251" i="57"/>
  <c r="M251" i="57" s="1"/>
  <c r="L250" i="57"/>
  <c r="M250" i="57" s="1"/>
  <c r="L249" i="57"/>
  <c r="M249" i="57" s="1"/>
  <c r="L248" i="57"/>
  <c r="M248" i="57" s="1"/>
  <c r="L239" i="57"/>
  <c r="M239" i="57" s="1"/>
  <c r="L238" i="57"/>
  <c r="M238" i="57" s="1"/>
  <c r="L237" i="57"/>
  <c r="M237" i="57" s="1"/>
  <c r="L236" i="57"/>
  <c r="M236" i="57" s="1"/>
  <c r="L235" i="57"/>
  <c r="M235" i="57" s="1"/>
  <c r="L234" i="57"/>
  <c r="M234" i="57" s="1"/>
  <c r="L233" i="57"/>
  <c r="M233" i="57" s="1"/>
  <c r="L232" i="57"/>
  <c r="M232" i="57" s="1"/>
  <c r="L231" i="57"/>
  <c r="M231" i="57" s="1"/>
  <c r="L230" i="57"/>
  <c r="M230" i="57" s="1"/>
  <c r="L229" i="57"/>
  <c r="M229" i="57" s="1"/>
  <c r="L228" i="57"/>
  <c r="M228" i="57" s="1"/>
  <c r="L227" i="57"/>
  <c r="M227" i="57" s="1"/>
  <c r="L226" i="57"/>
  <c r="M226" i="57" s="1"/>
  <c r="L225" i="57"/>
  <c r="M225" i="57" s="1"/>
  <c r="L224" i="57"/>
  <c r="M224" i="57" s="1"/>
  <c r="L223" i="57"/>
  <c r="M223" i="57" s="1"/>
  <c r="L222" i="57"/>
  <c r="M222" i="57" s="1"/>
  <c r="L221" i="57"/>
  <c r="M221" i="57" s="1"/>
  <c r="L220" i="57"/>
  <c r="M220" i="57" s="1"/>
  <c r="L219" i="57"/>
  <c r="M219" i="57" s="1"/>
  <c r="L218" i="57"/>
  <c r="M218" i="57" s="1"/>
  <c r="L217" i="57"/>
  <c r="M217" i="57" s="1"/>
  <c r="L216" i="57"/>
  <c r="M216" i="57" s="1"/>
  <c r="L215" i="57"/>
  <c r="M215" i="57" s="1"/>
  <c r="L214" i="57"/>
  <c r="M214" i="57" s="1"/>
  <c r="L213" i="57"/>
  <c r="M213" i="57" s="1"/>
  <c r="L212" i="57"/>
  <c r="M212" i="57" s="1"/>
  <c r="L211" i="57"/>
  <c r="M211" i="57" s="1"/>
  <c r="L210" i="57"/>
  <c r="M210" i="57" s="1"/>
  <c r="L209" i="57"/>
  <c r="M209" i="57" s="1"/>
  <c r="L208" i="57"/>
  <c r="M208" i="57" s="1"/>
  <c r="L207" i="57"/>
  <c r="M207" i="57" s="1"/>
  <c r="L206" i="57"/>
  <c r="M206" i="57" s="1"/>
  <c r="L205" i="57"/>
  <c r="M205" i="57" s="1"/>
  <c r="L204" i="57"/>
  <c r="M204" i="57" s="1"/>
  <c r="L203" i="57"/>
  <c r="M203" i="57" s="1"/>
  <c r="L202" i="57"/>
  <c r="M202" i="57" s="1"/>
  <c r="L201" i="57"/>
  <c r="M201" i="57" s="1"/>
  <c r="L200" i="57"/>
  <c r="M200" i="57" s="1"/>
  <c r="L199" i="57"/>
  <c r="M199" i="57" s="1"/>
  <c r="L198" i="57"/>
  <c r="M198" i="57" s="1"/>
  <c r="L197" i="57"/>
  <c r="M197" i="57" s="1"/>
  <c r="L196" i="57"/>
  <c r="M196" i="57" s="1"/>
  <c r="L195" i="57"/>
  <c r="M195" i="57" s="1"/>
  <c r="L194" i="57"/>
  <c r="M194" i="57" s="1"/>
  <c r="L193" i="57"/>
  <c r="M193" i="57" s="1"/>
  <c r="L192" i="57"/>
  <c r="M192" i="57" s="1"/>
  <c r="L191" i="57"/>
  <c r="M191" i="57" s="1"/>
  <c r="L190" i="57"/>
  <c r="M190" i="57" s="1"/>
  <c r="L189" i="57"/>
  <c r="M189" i="57" s="1"/>
  <c r="L188" i="57"/>
  <c r="M188" i="57" s="1"/>
  <c r="L187" i="57"/>
  <c r="M187" i="57" s="1"/>
  <c r="L186" i="57"/>
  <c r="M186" i="57" s="1"/>
  <c r="L185" i="57"/>
  <c r="M185" i="57" s="1"/>
  <c r="L184" i="57"/>
  <c r="M184" i="57" s="1"/>
  <c r="L183" i="57"/>
  <c r="M183" i="57" s="1"/>
  <c r="L182" i="57"/>
  <c r="M182" i="57" s="1"/>
  <c r="L181" i="57"/>
  <c r="M181" i="57" s="1"/>
  <c r="L180" i="57"/>
  <c r="M180" i="57" s="1"/>
  <c r="L179" i="57"/>
  <c r="M179" i="57" s="1"/>
  <c r="L178" i="57"/>
  <c r="M178" i="57" s="1"/>
  <c r="L177" i="57"/>
  <c r="M177" i="57" s="1"/>
  <c r="L176" i="57"/>
  <c r="M176" i="57" s="1"/>
  <c r="L175" i="57"/>
  <c r="M175" i="57" s="1"/>
  <c r="L174" i="57"/>
  <c r="M174" i="57" s="1"/>
  <c r="L173" i="57"/>
  <c r="M173" i="57" s="1"/>
  <c r="L172" i="57"/>
  <c r="M172" i="57" s="1"/>
  <c r="L171" i="57"/>
  <c r="M171" i="57" s="1"/>
  <c r="L168" i="57"/>
  <c r="M168" i="57" s="1"/>
  <c r="L167" i="57"/>
  <c r="M167" i="57" s="1"/>
  <c r="L166" i="57"/>
  <c r="M166" i="57" s="1"/>
  <c r="L165" i="57"/>
  <c r="M165" i="57" s="1"/>
  <c r="L164" i="57"/>
  <c r="M164" i="57" s="1"/>
  <c r="L163" i="57"/>
  <c r="M163" i="57" s="1"/>
  <c r="L162" i="57"/>
  <c r="M162" i="57" s="1"/>
  <c r="L161" i="57"/>
  <c r="M161" i="57" s="1"/>
  <c r="L160" i="57"/>
  <c r="M160" i="57" s="1"/>
  <c r="L159" i="57"/>
  <c r="M159" i="57" s="1"/>
  <c r="L158" i="57"/>
  <c r="M158" i="57" s="1"/>
  <c r="L157" i="57"/>
  <c r="M157" i="57" s="1"/>
  <c r="L156" i="57"/>
  <c r="M156" i="57" s="1"/>
  <c r="L155" i="57"/>
  <c r="M155" i="57" s="1"/>
  <c r="L154" i="57"/>
  <c r="M154" i="57" s="1"/>
  <c r="L153" i="57"/>
  <c r="M153" i="57" s="1"/>
  <c r="L152" i="57"/>
  <c r="M152" i="57" s="1"/>
  <c r="L151" i="57"/>
  <c r="M151" i="57" s="1"/>
  <c r="L150" i="57"/>
  <c r="M150" i="57" s="1"/>
  <c r="L149" i="57"/>
  <c r="M149" i="57" s="1"/>
  <c r="L148" i="57"/>
  <c r="M148" i="57" s="1"/>
  <c r="L147" i="57"/>
  <c r="M147" i="57" s="1"/>
  <c r="L146" i="57"/>
  <c r="M146" i="57" s="1"/>
  <c r="L145" i="57"/>
  <c r="M145" i="57" s="1"/>
  <c r="L144" i="57"/>
  <c r="M144" i="57" s="1"/>
  <c r="L143" i="57"/>
  <c r="M143" i="57" s="1"/>
  <c r="L142" i="57"/>
  <c r="M142" i="57" s="1"/>
  <c r="L141" i="57"/>
  <c r="M141" i="57" s="1"/>
  <c r="L140" i="57"/>
  <c r="M140" i="57" s="1"/>
  <c r="L139" i="57"/>
  <c r="M139" i="57" s="1"/>
  <c r="L138" i="57"/>
  <c r="M138" i="57" s="1"/>
  <c r="L137" i="57"/>
  <c r="M137" i="57" s="1"/>
  <c r="L136" i="57"/>
  <c r="M136" i="57" s="1"/>
  <c r="L135" i="57"/>
  <c r="M135" i="57" s="1"/>
  <c r="L134" i="57"/>
  <c r="M134" i="57" s="1"/>
  <c r="L133" i="57"/>
  <c r="M133" i="57" s="1"/>
  <c r="L132" i="57"/>
  <c r="M132" i="57" s="1"/>
  <c r="L131" i="57"/>
  <c r="M131" i="57" s="1"/>
  <c r="L130" i="57"/>
  <c r="M130" i="57" s="1"/>
  <c r="L129" i="57"/>
  <c r="M129" i="57" s="1"/>
  <c r="L128" i="57"/>
  <c r="M128" i="57" s="1"/>
  <c r="L127" i="57"/>
  <c r="M127" i="57" s="1"/>
  <c r="L126" i="57"/>
  <c r="M126" i="57" s="1"/>
  <c r="L125" i="57"/>
  <c r="M125" i="57" s="1"/>
  <c r="L124" i="57"/>
  <c r="M124" i="57" s="1"/>
  <c r="L123" i="57"/>
  <c r="M123" i="57" s="1"/>
  <c r="L122" i="57"/>
  <c r="M122" i="57" s="1"/>
  <c r="L121" i="57"/>
  <c r="M121" i="57" s="1"/>
  <c r="L120" i="57"/>
  <c r="M120" i="57" s="1"/>
  <c r="L119" i="57"/>
  <c r="M119" i="57" s="1"/>
  <c r="L118" i="57"/>
  <c r="M118" i="57" s="1"/>
  <c r="L117" i="57"/>
  <c r="M117" i="57" s="1"/>
  <c r="L116" i="57"/>
  <c r="M116" i="57" s="1"/>
  <c r="L115" i="57"/>
  <c r="M115" i="57" s="1"/>
  <c r="L114" i="57"/>
  <c r="M114" i="57" s="1"/>
  <c r="L113" i="57"/>
  <c r="M113" i="57" s="1"/>
  <c r="L112" i="57"/>
  <c r="M112" i="57" s="1"/>
  <c r="L111" i="57"/>
  <c r="M111" i="57" s="1"/>
  <c r="L110" i="57"/>
  <c r="M110" i="57" s="1"/>
  <c r="L109" i="57"/>
  <c r="M109" i="57" s="1"/>
  <c r="L108" i="57"/>
  <c r="M108" i="57" s="1"/>
  <c r="L107" i="57"/>
  <c r="M107" i="57" s="1"/>
  <c r="L106" i="57"/>
  <c r="M106" i="57" s="1"/>
  <c r="L105" i="57"/>
  <c r="M105" i="57" s="1"/>
  <c r="L104" i="57"/>
  <c r="M104" i="57" s="1"/>
  <c r="L103" i="57"/>
  <c r="M103" i="57" s="1"/>
  <c r="L102" i="57"/>
  <c r="M102" i="57" s="1"/>
  <c r="L101" i="57"/>
  <c r="M101" i="57" s="1"/>
  <c r="L100" i="57"/>
  <c r="M100" i="57" s="1"/>
  <c r="L99" i="57"/>
  <c r="M99" i="57" s="1"/>
  <c r="L98" i="57"/>
  <c r="M98" i="57" s="1"/>
  <c r="L97" i="57"/>
  <c r="M97" i="57" s="1"/>
  <c r="L96" i="57"/>
  <c r="M96" i="57" s="1"/>
  <c r="L95" i="57"/>
  <c r="M95" i="57" s="1"/>
  <c r="L94" i="57"/>
  <c r="M94" i="57" s="1"/>
  <c r="L93" i="57"/>
  <c r="M93" i="57" s="1"/>
  <c r="L92" i="57"/>
  <c r="M92" i="57" s="1"/>
  <c r="L91" i="57"/>
  <c r="M91" i="57" s="1"/>
  <c r="L90" i="57"/>
  <c r="M90" i="57" s="1"/>
  <c r="L89" i="57"/>
  <c r="M89" i="57" s="1"/>
  <c r="L88" i="57"/>
  <c r="M88" i="57" s="1"/>
  <c r="L87" i="57"/>
  <c r="M87" i="57" s="1"/>
  <c r="L86" i="57"/>
  <c r="M86" i="57" s="1"/>
  <c r="L85" i="57"/>
  <c r="M85" i="57" s="1"/>
  <c r="L84" i="57"/>
  <c r="M84" i="57" s="1"/>
  <c r="L83" i="57"/>
  <c r="M83" i="57" s="1"/>
  <c r="L82" i="57"/>
  <c r="M82" i="57" s="1"/>
  <c r="L81" i="57"/>
  <c r="M81" i="57" s="1"/>
  <c r="L80" i="57"/>
  <c r="M80" i="57" s="1"/>
  <c r="L79" i="57"/>
  <c r="M79" i="57" s="1"/>
  <c r="L78" i="57"/>
  <c r="M78" i="57" s="1"/>
  <c r="L77" i="57"/>
  <c r="M77" i="57" s="1"/>
  <c r="L76" i="57"/>
  <c r="M76" i="57" s="1"/>
  <c r="L75" i="57"/>
  <c r="M75" i="57" s="1"/>
  <c r="L74" i="57"/>
  <c r="M74" i="57" s="1"/>
  <c r="L73" i="57"/>
  <c r="M73" i="57" s="1"/>
  <c r="L72" i="57"/>
  <c r="M72" i="57" s="1"/>
  <c r="L71" i="57"/>
  <c r="M71" i="57" s="1"/>
  <c r="L70" i="57"/>
  <c r="M70" i="57" s="1"/>
  <c r="L69" i="57"/>
  <c r="M69" i="57" s="1"/>
  <c r="L68" i="57"/>
  <c r="M68" i="57" s="1"/>
  <c r="L67" i="57"/>
  <c r="M67" i="57" s="1"/>
  <c r="L66" i="57"/>
  <c r="M66" i="57" s="1"/>
  <c r="L65" i="57"/>
  <c r="M65" i="57" s="1"/>
  <c r="L64" i="57"/>
  <c r="M64" i="57" s="1"/>
  <c r="L63" i="57"/>
  <c r="M63" i="57" s="1"/>
  <c r="L62" i="57"/>
  <c r="M62" i="57" s="1"/>
  <c r="L61" i="57"/>
  <c r="M61" i="57" s="1"/>
  <c r="L60" i="57"/>
  <c r="M60" i="57" s="1"/>
  <c r="L59" i="57"/>
  <c r="M59" i="57" s="1"/>
  <c r="L58" i="57"/>
  <c r="M58" i="57" s="1"/>
  <c r="L57" i="57"/>
  <c r="M57" i="57" s="1"/>
  <c r="L56" i="57"/>
  <c r="M56" i="57" s="1"/>
  <c r="L55" i="57"/>
  <c r="M55" i="57" s="1"/>
  <c r="L54" i="57"/>
  <c r="M54" i="57" s="1"/>
  <c r="L53" i="57"/>
  <c r="M53" i="57" s="1"/>
  <c r="L52" i="57"/>
  <c r="M52" i="57" s="1"/>
  <c r="L51" i="57"/>
  <c r="M51" i="57" s="1"/>
  <c r="L50" i="57"/>
  <c r="M50" i="57" s="1"/>
  <c r="L49" i="57"/>
  <c r="M49" i="57" s="1"/>
  <c r="L48" i="57"/>
  <c r="M48" i="57" s="1"/>
  <c r="L47" i="57"/>
  <c r="M47" i="57" s="1"/>
  <c r="L46" i="57"/>
  <c r="M46" i="57" s="1"/>
  <c r="L45" i="57"/>
  <c r="M45" i="57" s="1"/>
  <c r="L44" i="57"/>
  <c r="M44" i="57" s="1"/>
  <c r="L43" i="57"/>
  <c r="M43" i="57" s="1"/>
  <c r="L42" i="57"/>
  <c r="M42" i="57" s="1"/>
  <c r="L41" i="57"/>
  <c r="M41" i="57" s="1"/>
  <c r="L40" i="57"/>
  <c r="M40" i="57" s="1"/>
  <c r="L38" i="57"/>
  <c r="M38" i="57" s="1"/>
  <c r="L37" i="57"/>
  <c r="M37" i="57" s="1"/>
  <c r="L36" i="57"/>
  <c r="M36" i="57" s="1"/>
  <c r="L35" i="57"/>
  <c r="M35" i="57" s="1"/>
  <c r="L34" i="57"/>
  <c r="M34" i="57" s="1"/>
  <c r="L33" i="57"/>
  <c r="M33" i="57" s="1"/>
  <c r="L32" i="57"/>
  <c r="M32" i="57" s="1"/>
  <c r="L31" i="57"/>
  <c r="M31" i="57" s="1"/>
  <c r="L30" i="57"/>
  <c r="M30" i="57" s="1"/>
  <c r="L29" i="57"/>
  <c r="M29" i="57" s="1"/>
  <c r="L28" i="57"/>
  <c r="M28" i="57" s="1"/>
  <c r="L27" i="57"/>
  <c r="M27" i="57" s="1"/>
  <c r="L26" i="57"/>
  <c r="M26" i="57" s="1"/>
  <c r="L25" i="57"/>
  <c r="M25" i="57" s="1"/>
  <c r="L24" i="57"/>
  <c r="M24" i="57" s="1"/>
  <c r="L23" i="57"/>
  <c r="M23" i="57" s="1"/>
  <c r="L22" i="57"/>
  <c r="M22" i="57" s="1"/>
  <c r="L21" i="57"/>
  <c r="M21" i="57" s="1"/>
  <c r="L20" i="57"/>
  <c r="M20" i="57" s="1"/>
  <c r="L19" i="57"/>
  <c r="M19" i="57" s="1"/>
  <c r="L18" i="57"/>
  <c r="M18" i="57" s="1"/>
  <c r="L17" i="57"/>
  <c r="M17" i="57" s="1"/>
  <c r="L16" i="57"/>
  <c r="M16" i="57" s="1"/>
  <c r="L15" i="57"/>
  <c r="M15" i="57" s="1"/>
  <c r="L14" i="57"/>
  <c r="M14" i="57" s="1"/>
  <c r="L13" i="57"/>
  <c r="M13" i="57" s="1"/>
  <c r="L12" i="57"/>
  <c r="M12" i="57" s="1"/>
  <c r="L11" i="57"/>
  <c r="M11" i="57" s="1"/>
  <c r="L10" i="57"/>
  <c r="M10" i="57" s="1"/>
  <c r="L9" i="57"/>
  <c r="M9" i="57" s="1"/>
  <c r="L8" i="57"/>
  <c r="M8" i="57" s="1"/>
  <c r="L7" i="57"/>
  <c r="M7" i="57" s="1"/>
  <c r="L6" i="57"/>
  <c r="M6" i="57" s="1"/>
</calcChain>
</file>

<file path=xl/sharedStrings.xml><?xml version="1.0" encoding="utf-8"?>
<sst xmlns="http://schemas.openxmlformats.org/spreadsheetml/2006/main" count="1855" uniqueCount="606">
  <si>
    <t>No</t>
  </si>
  <si>
    <t>CATEGORY</t>
  </si>
  <si>
    <t>SEGMENT</t>
  </si>
  <si>
    <t>SAP Code</t>
  </si>
  <si>
    <t>SKU DESCRIPTION</t>
  </si>
  <si>
    <t>Brand</t>
  </si>
  <si>
    <t>MRP/
Unit</t>
  </si>
  <si>
    <t>MRP/
Kg(LT)</t>
  </si>
  <si>
    <t>Billing
Price</t>
  </si>
  <si>
    <t>WILLOWOOD CHEMICALS LIMITED</t>
  </si>
  <si>
    <t>Brand
Code</t>
  </si>
  <si>
    <t>GST %</t>
  </si>
  <si>
    <t>X-FACTOR</t>
  </si>
  <si>
    <t>FUNGICIDES</t>
  </si>
  <si>
    <t>ABOXY</t>
  </si>
  <si>
    <t>AZOXYSTROBIN 20% + BOSCALID 25% SE - 1 LTR</t>
  </si>
  <si>
    <t>AZOXYSTROBIN 20% + BOSCALID 25% SE - 500 ML</t>
  </si>
  <si>
    <t>AZOXYSTROBIN 20% + BOSCALID 25% SE - 250 ML</t>
  </si>
  <si>
    <t>AZOXYSTROBIN 20% + BOSCALID 25% SE - 100 ML</t>
  </si>
  <si>
    <t>GENERIC</t>
  </si>
  <si>
    <t>HERBICIDES</t>
  </si>
  <si>
    <t>ADAPTOR</t>
  </si>
  <si>
    <t>BENSULFURON METHYL 0.6% + PRETILACHLOR 6% GR - 4 KG</t>
  </si>
  <si>
    <t>INSECTICIDES</t>
  </si>
  <si>
    <t>ANTENNA</t>
  </si>
  <si>
    <t>ACETAMIPRID 20 % SP - 1 KG</t>
  </si>
  <si>
    <t>ACETAMIPRID 20 % SP - 500 GM</t>
  </si>
  <si>
    <t>ACETAMIPRID 20 % SP - 250 GM</t>
  </si>
  <si>
    <t>ACETAMIPRID 20 % SP - 100 GM</t>
  </si>
  <si>
    <t>ACETAMIPRID 20 % SP - 50 GM</t>
  </si>
  <si>
    <t>ACETAMIPRID 20 % SP - 20 GM</t>
  </si>
  <si>
    <t>SUPER GENERIC</t>
  </si>
  <si>
    <t>ATRA-WIL</t>
  </si>
  <si>
    <t>ATRAZINE 50% WP - 500 GM</t>
  </si>
  <si>
    <t>ATRAZINE 50% WP - 250 GM</t>
  </si>
  <si>
    <t>AVUNAR</t>
  </si>
  <si>
    <t>BROFLANILIDE 300 G/L SC - 34 ML</t>
  </si>
  <si>
    <t>BROFLANILIDE 300 G/L SC - 17 ML</t>
  </si>
  <si>
    <t>BROFLANILIDE 300 G/L SC - 8.5 ML</t>
  </si>
  <si>
    <t>BIOXAM</t>
  </si>
  <si>
    <t>BIFENTHRIN 10% + THIAMETHOXAM 5% SE - 1 LTR</t>
  </si>
  <si>
    <t>BIFENTHRIN 10% + THIAMETHOXAM 5% SE - 500 ML</t>
  </si>
  <si>
    <t>BIFENTHRIN 10% + THIAMETHOXAM 5% SE - 200 ML</t>
  </si>
  <si>
    <t>BIFENTHRIN 10% + THIAMETHOXAM 5% SE - 100 ML</t>
  </si>
  <si>
    <t>NUCLEUS</t>
  </si>
  <si>
    <t>PGP &amp; Others</t>
  </si>
  <si>
    <t>BRAND</t>
  </si>
  <si>
    <t>BRAND ( L ) - 1 Ltr</t>
  </si>
  <si>
    <t>BRAND ( L ) -500 ML</t>
  </si>
  <si>
    <t>BRAND ( L ) -250 ML</t>
  </si>
  <si>
    <t>BRAND ( L ) -100 ML</t>
  </si>
  <si>
    <t>BRAND ( L ) - 50 ML</t>
  </si>
  <si>
    <t>BRAND ( L ) -20 ML (BOTTLE)</t>
  </si>
  <si>
    <t>BRAND GR PLUS</t>
  </si>
  <si>
    <t>BRAND GR - 48 KG (CAN)</t>
  </si>
  <si>
    <t>BRAND GR - 40 KG (CAN of 1kg pouch)</t>
  </si>
  <si>
    <t>BRAND GR - 30 KG (DRUM)</t>
  </si>
  <si>
    <t>BRAND GR - 24 KG (BAG)</t>
  </si>
  <si>
    <t>BRAND GR - 20 KG (MATKA)</t>
  </si>
  <si>
    <t>BRAND GR - 15 KG (MATKA of 1kg pouch)</t>
  </si>
  <si>
    <t>BRAND GR - 20 KG (CARTON of 1kg pouch)</t>
  </si>
  <si>
    <t>BRAND GR - 10 KG (BUCKET)</t>
  </si>
  <si>
    <t>BRAND GR - 8 KG (POUCH)</t>
  </si>
  <si>
    <t>BRAND GR - 4 KG (BUCKET)</t>
  </si>
  <si>
    <t>BRAND GR - 4 KG (POUCH)</t>
  </si>
  <si>
    <t>BREAK</t>
  </si>
  <si>
    <t>BPMC 50% EC - 5 LTR</t>
  </si>
  <si>
    <t>BPMC 50% EC - 1 LTR</t>
  </si>
  <si>
    <t>BPMC 50% EC - 500 ML</t>
  </si>
  <si>
    <t>BPMC 50% EC - 250 ML</t>
  </si>
  <si>
    <t>BPMC 50% EC - 100 ML</t>
  </si>
  <si>
    <t>CARMEL</t>
  </si>
  <si>
    <t>CARBENDAZIM 12% + MANCOZEB 63% WP - 1 KG (DRUM)</t>
  </si>
  <si>
    <t>CARBENDAZIM 12% + MANCOZEB 63% WP - 500 GM (DRUM)</t>
  </si>
  <si>
    <t>CARBENDAZIM 12% + MANCOZEB 63% WP - 1 KG</t>
  </si>
  <si>
    <t>CARBENDAZIM 12% + MANCOZEB 63% WP - 500 GM</t>
  </si>
  <si>
    <t>CARBENDAZIM 12% + MANCOZEB 63% WP - 250 GM</t>
  </si>
  <si>
    <t>CARBENDAZIM 12% + MANCOZEB 63% WP - 100 GM</t>
  </si>
  <si>
    <t>CARBENDAZIM 12% + MANCOZEB 63% WP - 20 GM</t>
  </si>
  <si>
    <t>CLODEXO</t>
  </si>
  <si>
    <t>CLODINAFOP 15% DF - 160 GM</t>
  </si>
  <si>
    <t>CLOXY</t>
  </si>
  <si>
    <t>OXYFLUORFEN 20% + CLODINAFOP-PROPARGYL 5% DF - 1 KG</t>
  </si>
  <si>
    <t>OXYFLUORFEN 20% + CLODINAFOP-PROPARGYL 5% DF - 500 GM</t>
  </si>
  <si>
    <t>OXYFLUORFEN 20% + CLODINAFOP-PROPARGYL 5% DF - 250 GM</t>
  </si>
  <si>
    <t>OXYFLUORFEN 20% + CLODINAFOP-PROPARGYL 5% DF - 100 GM</t>
  </si>
  <si>
    <t>COPOXY</t>
  </si>
  <si>
    <t>COPPER OXY CHLORIDE 50% WP - 10 KG (BAG)</t>
  </si>
  <si>
    <t>COPPER OXY CHLORIDE 50% WP - 500 GM (10kg without MC)</t>
  </si>
  <si>
    <t>COPPER OXY CHLORIDE 50% WP - 500 GM (20kg with MC)</t>
  </si>
  <si>
    <t>DELIGENT</t>
  </si>
  <si>
    <t>BUPROFEZIN 25% SC-1 LTR</t>
  </si>
  <si>
    <t>BUPROFEZIN 25% SC - 500 ML</t>
  </si>
  <si>
    <t>BUPROFEZIN 25% SC - 250 ML</t>
  </si>
  <si>
    <t>DELTROM</t>
  </si>
  <si>
    <t>DELTAMETHRIN 11% EC - 1 LTR</t>
  </si>
  <si>
    <t>DELTAMETHRIN 11% EC - 500 ML</t>
  </si>
  <si>
    <t>DELTAMETHRIN 11% EC - 250 ML</t>
  </si>
  <si>
    <t>DELTAMETHRIN 11% EC - 100 ML</t>
  </si>
  <si>
    <t>DIAZO-TOP</t>
  </si>
  <si>
    <t>AZOXYSTROBIN 18.2% + DIFENCONAZOLE 11.4% SC - 1 LTR</t>
  </si>
  <si>
    <t>AZOXYSTROBIN 18.2% + DIFENCONAZOLE 11.4% SC - 500 ML</t>
  </si>
  <si>
    <t>AZOXYSTROBIN 18.2% + DIFENCONAZOLE 11.4% SC - 200 ML</t>
  </si>
  <si>
    <t>AZOXYSTROBIN 18.2% + DIFENCONAZOLE 11.4% SC - 100 ML</t>
  </si>
  <si>
    <t>FOCUS CORE</t>
  </si>
  <si>
    <t>DICLO-WIL</t>
  </si>
  <si>
    <t>DICLOSULAM 84% WG - 12.4 GM</t>
  </si>
  <si>
    <t>DIMOXA</t>
  </si>
  <si>
    <t>DIFENCONAZOLE 10% + MANCOZEB 50% WG - 1 KG</t>
  </si>
  <si>
    <t>DIFENCONAZOLE 10% + MANCOZEB 50% WG - 500 GM</t>
  </si>
  <si>
    <t>DIFENCONAZOLE 10% + MANCOZEB 50% WG - 250 GM</t>
  </si>
  <si>
    <t>DIFENCONAZOLE 10% + MANCOZEB 50% WG - 100 GM</t>
  </si>
  <si>
    <t>DIURO-WIL</t>
  </si>
  <si>
    <t>DIURON 80 % WP - 500 GM</t>
  </si>
  <si>
    <t>DR COL</t>
  </si>
  <si>
    <t>PROPINEB 70% WP - 1 KG</t>
  </si>
  <si>
    <t>PROPINEB 70% WP - 500 GM</t>
  </si>
  <si>
    <t>PROPINEB 70% WP - 250 GM</t>
  </si>
  <si>
    <t>DR PROX</t>
  </si>
  <si>
    <t>DIFENOCONAZOLE 4% + PROPINEB 64% DF - 1200 GM</t>
  </si>
  <si>
    <t>DIFENOCONAZOLE 4% + PROPINEB 64% DF - 600 GM</t>
  </si>
  <si>
    <t>DIFENOCONAZOLE 4% + PROPINEB 64% DF - 300 GM</t>
  </si>
  <si>
    <t>DIFENOCONAZOLE 4% + PROPINEB 64% DF - 150 GM</t>
  </si>
  <si>
    <t>DR WELLOX</t>
  </si>
  <si>
    <t>SULPHUR 50% + PROPINEB 25% DF - 4 KG</t>
  </si>
  <si>
    <t>SULPHUR 50% + PROPINEB 25% DF - 1.6 KG</t>
  </si>
  <si>
    <t>SULPHUR 50% + PROPINEB 25% DF - 800 GM</t>
  </si>
  <si>
    <t>SULPHUR 50% + PROPINEB 25% DF - 400 GM</t>
  </si>
  <si>
    <t>ED-MAX</t>
  </si>
  <si>
    <t>EMAMECTIN BENZOATE 1.1% + DIAFENTHIURON 30% SC - 1 LTR</t>
  </si>
  <si>
    <t>EMAMECTIN BENZOATE 1.1% + DIAFENTHIURON 30% SC - 400 ML</t>
  </si>
  <si>
    <t>EMAMECTIN BENZOATE 1.1% + DIAFENTHIURON 30% SC - 200 ML</t>
  </si>
  <si>
    <t>EMAMECTIN BENZOATE 1.1% + DIAFENTHIURON 30% SC - 100 ML</t>
  </si>
  <si>
    <t>EMACTO</t>
  </si>
  <si>
    <t>EMAMECTIN BENZOATE 5% SG - 5 KG</t>
  </si>
  <si>
    <t>EMAMECTIN BENZOATE 5% SG - 1 KG</t>
  </si>
  <si>
    <t>EMAMECTIN BENZOATE 5% SG - 500 GM</t>
  </si>
  <si>
    <t>EMAMECTIN BENZOATE 5% SG - 250 GM</t>
  </si>
  <si>
    <t>EMAMECTIN BENZOATE 5% SG - 100 GM</t>
  </si>
  <si>
    <t>EMAMECTIN BENZOATE 5% SG -50 GM</t>
  </si>
  <si>
    <t>EMAMECTIN BENZOATE 5% SG - 10 GM</t>
  </si>
  <si>
    <t xml:space="preserve">FLYOVER </t>
  </si>
  <si>
    <t>TRICONTANOL 0.1% EW - 1 LTR</t>
  </si>
  <si>
    <t>TRICONTANOL 0.1% EW - 500ML</t>
  </si>
  <si>
    <t>TRICONTANOL 0.1% EW - 250ML</t>
  </si>
  <si>
    <t>TRICONTANOL 0.1% EW - 100ML</t>
  </si>
  <si>
    <t>FOMAX-PRO</t>
  </si>
  <si>
    <t>FOMESAFEN 12.5% + FENOXAPROP-P-ETHYL 10% + CHLORIMURON ETHYL 0.9% ME - 500 ML</t>
  </si>
  <si>
    <t>FOMESAFEN 12.5% + FENOXAPROP-P-ETHYL 10% + CHLORIMURON ETHYL 0.9% ME - 250 ML</t>
  </si>
  <si>
    <t>FOMESAFEN 12.5% + FENOXAPROP-P-ETHYL 10% + CHLORIMURON ETHYL 0.9% ME - 100 ML</t>
  </si>
  <si>
    <t>FOXTROT</t>
  </si>
  <si>
    <t>FENOXAPROP-P-ETHYL 9% DF - 1 KG</t>
  </si>
  <si>
    <t>FENOXAPROP-P-ETHYL 9% DF - 500 GM</t>
  </si>
  <si>
    <t>FENOXAPROP-P-ETHYL 9% DF - 250 GM</t>
  </si>
  <si>
    <t>GENESIS</t>
  </si>
  <si>
    <t>PROFENOFOS 40% EC + CYPER 4% EC- 5 LTR</t>
  </si>
  <si>
    <t>PROFENOFOS 40% EC + CYPER 4% EC- 1 LTR</t>
  </si>
  <si>
    <t>PROFENOFOS 40% EC + CYPER 4% EC- 500 ML</t>
  </si>
  <si>
    <t>PROFENOFOS 40% EC + CYPER 4% EC- 250 ML</t>
  </si>
  <si>
    <t>PROFENOFOS 40% EC + CYPER 4% EC- 100 ML</t>
  </si>
  <si>
    <t>HALOWIL</t>
  </si>
  <si>
    <t>HALOXYFOP R-METHYL 10.5% EC - 1200 ML</t>
  </si>
  <si>
    <t>HALOXYFOP R-METHYL 10.5% EC - 400 ML</t>
  </si>
  <si>
    <t>INDICA</t>
  </si>
  <si>
    <t>IMAZETHAPYR 70% WG - 250 GM</t>
  </si>
  <si>
    <t>IMAZETHAPYR 70% WG - 50 GM</t>
  </si>
  <si>
    <t>INFINEX</t>
  </si>
  <si>
    <t>PARAQUAT DICHLORIDE 7.5% +GLYPHOSATE 30% SC - 20 LTR</t>
  </si>
  <si>
    <t>PARAQUAT DICHLORIDE 7.5% +GLYPHOSATE 30% SC - 5 LTR</t>
  </si>
  <si>
    <t>PARAQUAT DICHLORIDE 7.5% +GLYPHOSATE 30% SC - 1200 ML</t>
  </si>
  <si>
    <t>PARAQUAT DICHLORIDE 7.5% +GLYPHOSATE 30% SC - 600 ML</t>
  </si>
  <si>
    <t>PARAQUAT DICHLORIDE 7.5% +GLYPHOSATE 30% SC - 300 ML</t>
  </si>
  <si>
    <t>INOVEXIA</t>
  </si>
  <si>
    <t>IMIDACLOPRID 6% + LAMBDA CYHALOTHRIN 4% SL - 1 LTR</t>
  </si>
  <si>
    <t>IMIDACLOPRID 6% + LAMBDA CYHALOTHRIN 4% SL - 500 ML</t>
  </si>
  <si>
    <t>IMIDACLOPRID 6% + LAMBDA CYHALOTHRIN 4% SL - 250 ML</t>
  </si>
  <si>
    <t>IMIDACLOPRID 6% + LAMBDA CYHALOTHRIN 4% SL - 120 ML</t>
  </si>
  <si>
    <t>IMIDACLOPRID 6% + LAMBDA CYHALOTHRIN 4% SL - 60 ML</t>
  </si>
  <si>
    <t>INSTA-X</t>
  </si>
  <si>
    <t>BPMC 22.50% + BUPROFEZIN 11.25% + ACEPHATE 2.50% ME - 3.2 LTR</t>
  </si>
  <si>
    <t>BPMC 22.50% + BUPROFEZIN 11.25% + ACEPHATE 2.50% ME - 1 LTR</t>
  </si>
  <si>
    <t>BPMC 22.50% + BUPROFEZIN 11.25% + ACEPHATE 2.50% ME - 700 ML</t>
  </si>
  <si>
    <t>BPMC 22.50% + BUPROFEZIN 11.25% + ACEPHATE 2.50% ME - 500 ML</t>
  </si>
  <si>
    <t>BPMC 22.50% + BUPROFEZIN 11.25% + ACEPHATE 2.50% ME - 350 ML</t>
  </si>
  <si>
    <t>BPMC 22.50% + BUPROFEZIN 11.25% + ACEPHATE 2.50% ME - 100 ML</t>
  </si>
  <si>
    <t>LAYBY</t>
  </si>
  <si>
    <t>CYMOXANIL+MANCOZEB 8%+64 % WP - 1200 GM</t>
  </si>
  <si>
    <t>CYMOXANIL+MANCOZEB 8%+64 % WP - 600 GM</t>
  </si>
  <si>
    <t>CYMOXANIL+MANCOZEB 8%+64 % WP - 300 GM</t>
  </si>
  <si>
    <t>CYMOXANIL+MANCOZEB 8%+64 % WP - 100 GM</t>
  </si>
  <si>
    <t>FUNGI+INSECTI</t>
  </si>
  <si>
    <t>MAXEED</t>
  </si>
  <si>
    <t>CARBOXIN 22.5% + THIRAM 22.5% + IMIDACLOPRID 18% WS - 250 GM</t>
  </si>
  <si>
    <t>CARBOXIN 22.5% + THIRAM 22.5% + IMIDACLOPRID 18% WS - 100 GM</t>
  </si>
  <si>
    <t>CARBOXIN 22.5% + THIRAM 22.5% + IMIDACLOPRID 18% WS - 50 GM</t>
  </si>
  <si>
    <t>MITOFIX</t>
  </si>
  <si>
    <t>FIPRONIL 2.5% + PROPARGITE 35% SE - 800 ML</t>
  </si>
  <si>
    <t>FIPRONIL 2.5% + PROPARGITE 35% SE - 400 ML</t>
  </si>
  <si>
    <t>FIPRONIL 2.5% + PROPARGITE 35% SE - 100 ML</t>
  </si>
  <si>
    <t>MYWILL</t>
  </si>
  <si>
    <t>MYCLOBUTANIL 10% WP - 500 GM</t>
  </si>
  <si>
    <t>MYCLOBUTANIL 10% WP - 250 GM</t>
  </si>
  <si>
    <t>MYCLOBUTANIL 10% WP - 100 GM</t>
  </si>
  <si>
    <t>MYCLOBUTANIL 10% WP - 25 GM</t>
  </si>
  <si>
    <t>NOVEMA</t>
  </si>
  <si>
    <t>NOVALURON 5.25% + EMAMECTIN BENZOATE 0.9% SC - 1 LTR</t>
  </si>
  <si>
    <t>NOVALURON 5.25% + EMAMECTIN BENZOATE 0.9% SC - 500 ML</t>
  </si>
  <si>
    <t>NOVALURON 5.25% + EMAMECTIN BENZOATE 0.9% SC - 250 ML</t>
  </si>
  <si>
    <t>NOVALURON 5.25% + EMAMECTIN BENZOATE 0.9% SC - 100 ML</t>
  </si>
  <si>
    <t>OG-X</t>
  </si>
  <si>
    <t>OXYFLUORFEN  20% DF - 400 GM</t>
  </si>
  <si>
    <t>OXYFLUORFEN  20% DF - 100 GM</t>
  </si>
  <si>
    <t>OXYGUARD</t>
  </si>
  <si>
    <t>OXYFLUORFEN  23.5% EC - 1 LTR</t>
  </si>
  <si>
    <t>OXYFLUORFEN  23.5% EC - 500 ML</t>
  </si>
  <si>
    <t>OXYFLUORFEN  23.5% EC - 250 ML</t>
  </si>
  <si>
    <t>OXYFLUORFEN  23.5% EC - 100 ML</t>
  </si>
  <si>
    <t>OXYFLUORFEN  23.5% EC - 50 ML</t>
  </si>
  <si>
    <t>PACEMAKER</t>
  </si>
  <si>
    <t>PYMETROZINE 50% WG - 1 KG</t>
  </si>
  <si>
    <t>PYMETROZINE 50% WG - 500 GM</t>
  </si>
  <si>
    <t>PYMETROZINE 50% WG - 250 GM</t>
  </si>
  <si>
    <t>PYMETROZINE 50% WG - 120 GM</t>
  </si>
  <si>
    <t>PARAFEX</t>
  </si>
  <si>
    <t>PARAQUAT DICHLORIDE 24% + OXYFLUORFEN 5% SC - 6 LTR</t>
  </si>
  <si>
    <t>PARAQUAT DICHLORIDE 24% + OXYFLUORFEN 5% SC - 3 LTR</t>
  </si>
  <si>
    <t>PARAQUAT DICHLORIDE 24% + OXYFLUORFEN 5% SC - 1200 ML</t>
  </si>
  <si>
    <t>PATRIOT</t>
  </si>
  <si>
    <t>IMAZETHAPYR 10%  SL - 1 LTR</t>
  </si>
  <si>
    <t>IMAZETHAPYR 10%  SL - 500 ML</t>
  </si>
  <si>
    <t>IMAZETHAPYR 10%  SL - 250 ML</t>
  </si>
  <si>
    <t>PATROMAX</t>
  </si>
  <si>
    <t>FENOXAPROP-P-ETHYL 6%+CHLORIMURON ETHYL 0.9%+IMAZETHAPYR 10% SC - 1 LTR</t>
  </si>
  <si>
    <t>FENOXAPROP-P-ETHYL 6%+CHLORIMURON ETHYL 0.9%+IMAZETHAPYR 10% SC - 400 ML</t>
  </si>
  <si>
    <t>FENOXAPROP-P-ETHYL 6%+CHLORIMURON ETHYL 0.9%+IMAZETHAPYR 10% SC - 200 ML</t>
  </si>
  <si>
    <t>PYRISO</t>
  </si>
  <si>
    <t>PYRITHIOBAC SODIUM 6% + QUIZALOFOP ETHYL 4% MEC - 1 LTR</t>
  </si>
  <si>
    <t>PYRITHIOBAC SODIUM 6% + QUIZALOFOP ETHYL 4% MEC - 500 ML</t>
  </si>
  <si>
    <t>PYROWIL</t>
  </si>
  <si>
    <t>CHLORFENAPYR 10% SC - 1 LTR</t>
  </si>
  <si>
    <t>CHLORFENAPYR 10% SC - 100 ML</t>
  </si>
  <si>
    <t>PYROWIL-240</t>
  </si>
  <si>
    <t>CHLORFENAPYR 240 G/L SC - 340 ML</t>
  </si>
  <si>
    <t>CHLORFENAPYR 240 G/L SC - 170 ML</t>
  </si>
  <si>
    <t>CHLORFENAPYR 240 G/L SC - 85 ML</t>
  </si>
  <si>
    <t>SMS</t>
  </si>
  <si>
    <t>METSULFURON METHYL 20 % WP - 8 GM + 200ML</t>
  </si>
  <si>
    <t>SUNNY CLASSIC</t>
  </si>
  <si>
    <t>LAMBDA CYHALOTHRIN 4.9% CS - 1 LTR</t>
  </si>
  <si>
    <t>LAMBDA CYHALOTHRIN 4.9% CS - 500 ML</t>
  </si>
  <si>
    <t>LAMBDA CYHALOTHRIN 4.9% CS - 250 ML</t>
  </si>
  <si>
    <t>LAMBDA CYHALOTHRIN 4.9% CS - 100 ML</t>
  </si>
  <si>
    <t>SUNNY EC</t>
  </si>
  <si>
    <t>LAMBDA CYHALOTHRIN 5% EC - 5 LTR</t>
  </si>
  <si>
    <t>LAMBDA CYHALOTHRIN 5% EC - 1 LTR</t>
  </si>
  <si>
    <t>LAMBDA CYHALOTHRIN 5% EC - 500 ML</t>
  </si>
  <si>
    <t>LAMBDA CYHALOTHRIN 5% EC -250 ML</t>
  </si>
  <si>
    <t>LAMBDA CYHALOTHRIN 5% EC -100 ML</t>
  </si>
  <si>
    <t>THEME</t>
  </si>
  <si>
    <t>THIOPHANATE METHYL 70% WP - 1 KG</t>
  </si>
  <si>
    <t>THIOPHANATE METHYL 70% WP - 500GM</t>
  </si>
  <si>
    <t>THIOPHANATE METHYL 70% WP - 250 GM</t>
  </si>
  <si>
    <t>THIOPHANATE METHYL 70% WP - 100 GM</t>
  </si>
  <si>
    <t>TRADITION</t>
  </si>
  <si>
    <t>TOLFENPYRAD 15% EC - 1 LTR</t>
  </si>
  <si>
    <t>TOLFENPYRAD 15% EC - 500 ML</t>
  </si>
  <si>
    <t>TOLFENPYRAD 15% EC - 250 ML</t>
  </si>
  <si>
    <t>TOLFENPYRAD 15% EC - 100 ML</t>
  </si>
  <si>
    <r>
      <t>TRIPAXY</t>
    </r>
    <r>
      <rPr>
        <sz val="11"/>
        <color theme="1"/>
        <rFont val="Calibri"/>
        <family val="2"/>
        <scheme val="minor"/>
      </rPr>
      <t xml:space="preserve"> </t>
    </r>
  </si>
  <si>
    <t>FENOXAPROP-P-ETHYL 5% + CHLORIMURON ETHYL 0.6% + PRETILACHLOR 50% ME - 1 LTR</t>
  </si>
  <si>
    <t>FENOXAPROP-P-ETHYL 5% + CHLORIMURON ETHYL 0.6% + PRETILACHLOR 50% ME - 200 ML</t>
  </si>
  <si>
    <t>TUFFEX-369</t>
  </si>
  <si>
    <t>THIFLUZAMIDE 9% + DIFENOCONAZOLE 6% + VALIDAMYCIN 3% SC - 5 LTR</t>
  </si>
  <si>
    <t>THIFLUZAMIDE 9% + DIFENOCONAZOLE 6% + VALIDAMYCIN 3% SC - 1 LTR</t>
  </si>
  <si>
    <t>THIFLUZAMIDE 9% + DIFENOCONAZOLE 6% + VALIDAMYCIN 3% SC - 400 ML</t>
  </si>
  <si>
    <t>THIFLUZAMIDE 9% + DIFENOCONAZOLE 6% + VALIDAMYCIN 3% SC - 200 ML</t>
  </si>
  <si>
    <t>THIFLUZAMIDE 9% + DIFENOCONAZOLE 6% + VALIDAMYCIN 3% SC - 100 ML</t>
  </si>
  <si>
    <t>VALXTRA</t>
  </si>
  <si>
    <t>VALIDAMYCIN 2.5% + HEXACONAZOLE 5% SC - 5 LTR</t>
  </si>
  <si>
    <t>VALIDAMYCIN 2.5% + HEXACONAZOLE 5% SC - 1 LTR</t>
  </si>
  <si>
    <t>VALIDAMYCIN 2.5% + HEXACONAZOLE 5% SC - 500 ML</t>
  </si>
  <si>
    <t>VALIDAMYCIN 2.5% + HEXACONAZOLE 5% SC - 250 ML</t>
  </si>
  <si>
    <t>VALIDAMYCIN 2.5% + HEXACONAZOLE 5% SC - 100 ML</t>
  </si>
  <si>
    <t>VARIX</t>
  </si>
  <si>
    <t>DIFENOCONAZOLE 6% + VALIDAMYCIN 6% SC - 5 LTR</t>
  </si>
  <si>
    <t>DIFENOCONAZOLE 6% + VALIDAMYCIN 6% SC - 1 LTR</t>
  </si>
  <si>
    <t>DIFENOCONAZOLE 6% + VALIDAMYCIN 6% SC - 500 ML</t>
  </si>
  <si>
    <t>DIFENOCONAZOLE 6% + VALIDAMYCIN 6% SC - 250 ML</t>
  </si>
  <si>
    <t>DIFENOCONAZOLE 6% + VALIDAMYCIN 6% SC - 100 ML</t>
  </si>
  <si>
    <t>WILBLOOM</t>
  </si>
  <si>
    <t>GIBBERALLIC ACID 0.001% L - 5 LTR</t>
  </si>
  <si>
    <t>GIBBERALLIC ACID 0.001% L - 1 LTR</t>
  </si>
  <si>
    <t>GIBBERALLIC ACID 0.001% L - 500 ML</t>
  </si>
  <si>
    <t>GIBBERALLIC ACID 0.001% L - 250 ML</t>
  </si>
  <si>
    <t>GIBBERALLIC ACID 0.001% L - 100 ML</t>
  </si>
  <si>
    <t>WILBOND</t>
  </si>
  <si>
    <t>WILBOND - 100GM (1200 GM)</t>
  </si>
  <si>
    <t>WILBOND - 60GM (1200 GM)</t>
  </si>
  <si>
    <t>WILBOND - 30GM (1200 GM)</t>
  </si>
  <si>
    <t>WILBOND - 5 GM (1200 GM)</t>
  </si>
  <si>
    <t>WILBOND - 3 GM (900 GM)</t>
  </si>
  <si>
    <t>WILCORE</t>
  </si>
  <si>
    <t>DIFENOCONAZOLE 25% EC 1 LTR</t>
  </si>
  <si>
    <t>DIFENOCONAZOLE 25% EC 500 ML</t>
  </si>
  <si>
    <t>DIFENOCONAZOLE 25% EC 250 ML</t>
  </si>
  <si>
    <t>DIFENOCONAZOLE 25% EC 100 ML</t>
  </si>
  <si>
    <t>DIFENOCONAZOLE 25% EC 50 ML</t>
  </si>
  <si>
    <t>WILDOXA</t>
  </si>
  <si>
    <t>INDOXACARB 14.5% SC - 1 LTR</t>
  </si>
  <si>
    <t>INDOXACARB 14.5% SC - 500 ML</t>
  </si>
  <si>
    <t>INDOXACARB 14.5% SC - 200 ML</t>
  </si>
  <si>
    <t>INDOXACARB 14.5% SC - 100 ML</t>
  </si>
  <si>
    <t>WILFENTRA</t>
  </si>
  <si>
    <t>SULFENTRAZONE 39.6 % SC - 600 ML</t>
  </si>
  <si>
    <t>SULFENTRAZONE 39.6 % SC - 300 ML</t>
  </si>
  <si>
    <t>WILFIT 50 EC</t>
  </si>
  <si>
    <t>PRETILACHLOR 50% EC -5 LTR</t>
  </si>
  <si>
    <t>PRETILACHLOR 50% EC -1 LTR</t>
  </si>
  <si>
    <t>PRETILACHLOR 50% EC -500 ML</t>
  </si>
  <si>
    <t>PRETILACHLOR 50% EC - 250 ML</t>
  </si>
  <si>
    <t>WILFIT XTRA</t>
  </si>
  <si>
    <t>PRETILACHLOR 37% EW - 3 LTR</t>
  </si>
  <si>
    <t>PRETILACHLOR 37% EW - 1200 ML</t>
  </si>
  <si>
    <t>PRETILACHLOR 37% EW - 600 ML</t>
  </si>
  <si>
    <t>PRETILACHLOR 37% EW - 250 ML</t>
  </si>
  <si>
    <t>WILFOP</t>
  </si>
  <si>
    <t>CLODINAFOP 15% WP - 160 GM [ 25 UNIT]</t>
  </si>
  <si>
    <t>WILFORCE 32</t>
  </si>
  <si>
    <t>PENDIMETHALIN 30% + IMAZETHAPYR 2% EC -5 LTR</t>
  </si>
  <si>
    <t>PENDIMETHALIN 30% + IMAZETHAPYR 2% EC -1 LTR</t>
  </si>
  <si>
    <t>WILGIB</t>
  </si>
  <si>
    <t>GIBBERALLIC ACID TECH - 1 KG</t>
  </si>
  <si>
    <t>GIBBERALLIC ACID TECH - 250 GM</t>
  </si>
  <si>
    <t>GIBBERALLIC ACID TECH - 100 GM</t>
  </si>
  <si>
    <t>GIBBERALLIC ACID TECH - 10 GM</t>
  </si>
  <si>
    <t>GIBBERALLIC ACID TECH - 5 GM</t>
  </si>
  <si>
    <t>GIBBERALLIC ACID TECH - 1 GM</t>
  </si>
  <si>
    <t>WILGOLD</t>
  </si>
  <si>
    <t>BISPYRIBAC SODIUM 10% SC - 1 LTR</t>
  </si>
  <si>
    <t>BISPYRIBAC SODIUM 10% SC - 500 ML</t>
  </si>
  <si>
    <t>BISPYRIBAC SODIUM 10% SC - 200 ML</t>
  </si>
  <si>
    <t>BISPYRIBAC SODIUM 10% SC - 100 ML</t>
  </si>
  <si>
    <t>BISPYRIBAC SODIUM 10% SC - 50 ML</t>
  </si>
  <si>
    <t>BISPYRIBAC SODIUM 10% SC - 10 ML</t>
  </si>
  <si>
    <t>WILHACK</t>
  </si>
  <si>
    <t>QUIZALOFOP ETHYL 5% EC - 1 LTR</t>
  </si>
  <si>
    <t>QUIZALOFOP ETHYL 5% EC - 500 ML</t>
  </si>
  <si>
    <t>QUIZALOFOP ETHYL 5% EC - 250 ML</t>
  </si>
  <si>
    <t>WILHACK-10</t>
  </si>
  <si>
    <t>QUIZALOFOP ETHYL 10% EC - 1 LTR</t>
  </si>
  <si>
    <t>QUIZALOFOP ETHYL 10% EC - 500 ML</t>
  </si>
  <si>
    <t>QUIZALOFOP ETHYL 10% EC - 250 ML</t>
  </si>
  <si>
    <t>WILHIT</t>
  </si>
  <si>
    <t>PYRITHIOBAC SODIUM 10% EC - 1 LTR</t>
  </si>
  <si>
    <t>PYRITHIOBAC SODIUM 10% EC - 500 ML</t>
  </si>
  <si>
    <t>PYRITHIOBAC SODIUM 10% EC - 250 ML</t>
  </si>
  <si>
    <t>WILICON</t>
  </si>
  <si>
    <t>SILICONE SURFACTANT - 5 LTR</t>
  </si>
  <si>
    <t>SILICONE SURFACTANT - 1 LTR</t>
  </si>
  <si>
    <t>SILICONE SURFACTANT - 500 ML</t>
  </si>
  <si>
    <t>SILICONE SURFACTANT - 250 ML</t>
  </si>
  <si>
    <t>SILICONE SURFACTANT - 100 ML</t>
  </si>
  <si>
    <t>SILICONE SURFACTANT - 50 ML</t>
  </si>
  <si>
    <t>SILICONE SURFACTANT - 20 ml (BOTTLE)</t>
  </si>
  <si>
    <t>WILJOSH</t>
  </si>
  <si>
    <t>PYRIPROXIFEN 10% + BIFENTHRIN 10% EC - 1 LTR</t>
  </si>
  <si>
    <t>PYRIPROXIFEN 10% + BIFENTHRIN 10% EC - 500 ML</t>
  </si>
  <si>
    <t>PYRIPROXIFEN 10% + BIFENTHRIN 10% EC - 250 ML</t>
  </si>
  <si>
    <t>PYRIPROXIFEN 10% + BIFENTHRIN 10% EC - 100 ML</t>
  </si>
  <si>
    <t>WILLO 505</t>
  </si>
  <si>
    <t>CHLORPYRIPHOS 50% + CYPERMETHRIN 5% EC - 5 LTR</t>
  </si>
  <si>
    <t>CHLORPYRIPHOS 50% + CYPERMETHRIN 5% EC - 1 LTR</t>
  </si>
  <si>
    <t>CHLORPYRIPHOS 50% + CYPERMETHRIN 5% EC - 500 ML</t>
  </si>
  <si>
    <t>CHLORPYRIPHOS 50% + CYPERMETHRIN 5% EC - 250 ML</t>
  </si>
  <si>
    <t>CHLORPYRIPHOS 50% + CYPERMETHRIN 5% EC - 100 ML</t>
  </si>
  <si>
    <t>WILLO-MITE</t>
  </si>
  <si>
    <t>PROPARGITE 57% EC - 5 LTR</t>
  </si>
  <si>
    <t>PROPARGITE 57% EC - 1 LTR</t>
  </si>
  <si>
    <t>PROPARGITE 57% EC - 500 ML</t>
  </si>
  <si>
    <t>PROPARGITE 57% EC - 250 ML</t>
  </si>
  <si>
    <t>PROPARGITE 57% EC - 100 ML</t>
  </si>
  <si>
    <t>WILLO-SURE</t>
  </si>
  <si>
    <t>PACLOBUTRAZOLE 23% SC</t>
  </si>
  <si>
    <t>WILLOBAT</t>
  </si>
  <si>
    <t>DIMETHOMORPH 50% WP - 1 KG</t>
  </si>
  <si>
    <t>DIMETHOMORPH 50% WP - 200 GM</t>
  </si>
  <si>
    <t>DIMETHOMORPH 50% WP - 100 GM</t>
  </si>
  <si>
    <t>WILLOBEN</t>
  </si>
  <si>
    <t>CYANTRANILPROLE 10.26% OD 240 ML</t>
  </si>
  <si>
    <t>CYANTRANILPROLE 10.26% OD 180 ML</t>
  </si>
  <si>
    <t>CYANTRANILPROLE 10.26% OD 90 ML</t>
  </si>
  <si>
    <t>WILLOMINE</t>
  </si>
  <si>
    <t>2,4-D AMINE SALT 58% SL - 1 LTR</t>
  </si>
  <si>
    <t>2,4-D AMINE SALT 58% SL - 400 ML</t>
  </si>
  <si>
    <t>WILLONYL</t>
  </si>
  <si>
    <t>CHLORTHALONIL 75%  WP -1 KG</t>
  </si>
  <si>
    <t>CHLOROTHALONIL 75%  WP -500 GM</t>
  </si>
  <si>
    <t>CHLOROTHALONIL 75%  WP -250 GM</t>
  </si>
  <si>
    <t>CHLOROTHALONIL 75%  WP -100 GM</t>
  </si>
  <si>
    <t>WILLOPRID</t>
  </si>
  <si>
    <t>FIPRONIL 40% + IMIDACLOPRID 40% WG - 250 GM</t>
  </si>
  <si>
    <t>FIPRONIL 40% + IMIDACLOPRID 40% WG - 100 GM</t>
  </si>
  <si>
    <t>FIPRONIL 40% + IMIDACLOPRID 40% WG - 40 GM</t>
  </si>
  <si>
    <t>FIPRONIL 40% + IMIDACLOPRID 40% WG - 6 GM</t>
  </si>
  <si>
    <t>WILLORD</t>
  </si>
  <si>
    <t>METRIBUZIN 70% WP - 500 GM</t>
  </si>
  <si>
    <t>METRIBUZIN 70% WP - 250 GM</t>
  </si>
  <si>
    <t>METRIBUZIN 70% WP - 100 GM</t>
  </si>
  <si>
    <t>WILLOSATE</t>
  </si>
  <si>
    <t>GLYPHOSATE 41% SL - 200 LTR</t>
  </si>
  <si>
    <t>GLYPHOSATE 41% SL - 50 LTR</t>
  </si>
  <si>
    <t>GLYPHOSATE 41% SL - 20 LTR</t>
  </si>
  <si>
    <t>GLYPHOSATE 41% SL - 5 LTR</t>
  </si>
  <si>
    <t>GLYPHOSATE 41% SL - 1 LTR</t>
  </si>
  <si>
    <t>GLYPHOSATE 41% SL - 500 ML</t>
  </si>
  <si>
    <t>GLYPHOSATE 41% SL - 250 ML</t>
  </si>
  <si>
    <t>WILLOSATE 71</t>
  </si>
  <si>
    <t>GLYPHOSATE 71% SG - 5 KG</t>
  </si>
  <si>
    <t>GLYPHOSATE 71% SG - 1 KG</t>
  </si>
  <si>
    <t>GLYPHOSATE 71% SG - 500 GM</t>
  </si>
  <si>
    <t>GLYPHOSATE 71% SG - 100 GM</t>
  </si>
  <si>
    <t>EXOTICA</t>
  </si>
  <si>
    <t>CARTAP HYDROCHLORIDE 4% + FIPRONIL 0.5 % CG - 6 KG</t>
  </si>
  <si>
    <t>CARTAP HYDROCHLORIDE 4% + FIPRONIL 0.5 % CG - 1 KG</t>
  </si>
  <si>
    <t>WILLOXAM</t>
  </si>
  <si>
    <t>THIOMETHOXAM 25% WG -1 KG</t>
  </si>
  <si>
    <t>THIOMETHOXAM 25% WG - 500 GM</t>
  </si>
  <si>
    <t>THIOMETHOXAM 25% WG - 250 GM</t>
  </si>
  <si>
    <t>THIOMETHOXAM 25% WG - 100 GM</t>
  </si>
  <si>
    <t>THIOMETHOXAM 25% WG - 5 GM</t>
  </si>
  <si>
    <t>WILLOXAM FS</t>
  </si>
  <si>
    <t>THIOMETHOXAM 30% FS - 1 LTR</t>
  </si>
  <si>
    <t>THIOMETHOXAM 30% FS - 500 ML</t>
  </si>
  <si>
    <t>THIOMETHOXAM 30% FS - 250 ML</t>
  </si>
  <si>
    <t>THIOMETHOXAM 30% FS - 100 ML</t>
  </si>
  <si>
    <t>THIOMETHOXAM 30% FS - 50 ML</t>
  </si>
  <si>
    <t>WILMART</t>
  </si>
  <si>
    <t>AMETRYN 80% WG - 1 KG</t>
  </si>
  <si>
    <t>AMETRYN 80% WG - 500 GM</t>
  </si>
  <si>
    <t>WILMIX</t>
  </si>
  <si>
    <t>MSM 10% + CHLORIMURON ETHYL 10% WP - 8 GM</t>
  </si>
  <si>
    <t>WILNOVA</t>
  </si>
  <si>
    <t>NOVALURON 10% EC - 1 LTR</t>
  </si>
  <si>
    <t>NOVALURON 10% EC - 500 ML</t>
  </si>
  <si>
    <t>NOVALURON 10% EC - 250 ML</t>
  </si>
  <si>
    <t>WILOGOR</t>
  </si>
  <si>
    <t>DIMETHOATE 30% EC - 20 LTR</t>
  </si>
  <si>
    <t>DIMETHOATE 30% EC - 1 LTR</t>
  </si>
  <si>
    <t>DIMETHOATE 30% EC - 500 ML</t>
  </si>
  <si>
    <t>DIMETHOATE 30% EC - 250 ML</t>
  </si>
  <si>
    <t>DIMETHOATE 30% EC - 100 ML</t>
  </si>
  <si>
    <t>WILOPEN</t>
  </si>
  <si>
    <t>PENOXSULAM 1.02% + CYHALOFOP-BUTYL 5.1% OD - 1 LTR</t>
  </si>
  <si>
    <t>PENOXSULAM 1.02% + CYHALOFOP-BUTYL 5.1% OD - 400 ML</t>
  </si>
  <si>
    <t>WILQUAT</t>
  </si>
  <si>
    <t>PARAQUAT 24% SL - 200 Ltr</t>
  </si>
  <si>
    <t>PARAQUAT 24% SL - 20 Ltr</t>
  </si>
  <si>
    <t>PARAQUAT 24% SL - 5 LTR</t>
  </si>
  <si>
    <t>PARAQUAT 24% SL - 1 LTR</t>
  </si>
  <si>
    <t>PARAQUAT 24% SL - 500 ML</t>
  </si>
  <si>
    <t>PARAQUAT 24% SL - 250 ML</t>
  </si>
  <si>
    <t>WILQUEEN</t>
  </si>
  <si>
    <t>DIAFENTHURON 50 WP 500 GM (VEG)</t>
  </si>
  <si>
    <t>DIAFENTHURON 50 WP 250 GM (VEG)</t>
  </si>
  <si>
    <t>DIAFENTHURON 50 WP 25 GM (VEG)</t>
  </si>
  <si>
    <t>WILRIPE</t>
  </si>
  <si>
    <t>ETHEPHON 39% SL - 1 LTR</t>
  </si>
  <si>
    <t>ETHEPHON 39% SL - 500 ML</t>
  </si>
  <si>
    <t>ETHEPHON 39% SL - 250 ML</t>
  </si>
  <si>
    <t>ETHEPHON 39% SL - 100 ML</t>
  </si>
  <si>
    <t>WILRISE GR</t>
  </si>
  <si>
    <t>FIPRONIL 0.3% GR - 5 KG</t>
  </si>
  <si>
    <t>FIPRONIL 0.3% GR - 1 KG</t>
  </si>
  <si>
    <t>WILRISE SC</t>
  </si>
  <si>
    <t>FIPRONIL 5% SC - 1 LTR</t>
  </si>
  <si>
    <t>FIPRONIL 5% SC - 500 ML</t>
  </si>
  <si>
    <t>FIPRONIL 5% SC - 250 ML</t>
  </si>
  <si>
    <t>FIPRONIL 5% SC - 100 ML</t>
  </si>
  <si>
    <t>WILSPIN</t>
  </si>
  <si>
    <t>SPINOSAD 45% SC - 75 ML</t>
  </si>
  <si>
    <t>SPINOSAD 45% SC - 7 ML</t>
  </si>
  <si>
    <t>WILSPIRO</t>
  </si>
  <si>
    <t>SPIROMESIFEN 22.9% SC - 5 LTR</t>
  </si>
  <si>
    <t>SPIROMESIFEN 22.9% SC - 1 LTR</t>
  </si>
  <si>
    <t>SPIROMESIFEN 22.9% SC - 500 ML</t>
  </si>
  <si>
    <t>SPIROMESIFEN 22.9% SC - 200 ML</t>
  </si>
  <si>
    <t>SPIROMESIFEN 22.9% SC - 100 ML</t>
  </si>
  <si>
    <t>WILSTRIKE</t>
  </si>
  <si>
    <t>PYROXASULFONE 85% WG - 60 GM</t>
  </si>
  <si>
    <t>WILSTRONG</t>
  </si>
  <si>
    <t>CAPTAN70%+HEXA5%WP - 1 KG</t>
  </si>
  <si>
    <t>CAPTAN70%+HEXA5%WP - 500 GM</t>
  </si>
  <si>
    <t>CAPTAN70%+HEXA5%WP - 250 GM</t>
  </si>
  <si>
    <t>CAPTAN70%+HEXA5%WP - 100 GM</t>
  </si>
  <si>
    <t>WILSULF</t>
  </si>
  <si>
    <t>SULPHUR 80% WG - 3 Kg [ 30 Kg Drum]</t>
  </si>
  <si>
    <t>SULPHUR 80% WG - 1 KG [ 30 Kg Drum]</t>
  </si>
  <si>
    <t>SULPHUR 80% WG - 3 KG [24 Kg Carton]</t>
  </si>
  <si>
    <t>SULPHUR 80% WG - 1 KG [20 Kg Carton]</t>
  </si>
  <si>
    <t>SULPHUR 80% WG - 3 KG [30 Kg Bag]</t>
  </si>
  <si>
    <t>WILSUPER</t>
  </si>
  <si>
    <t>FENOXAPROP-P-ETHYL 9.3% EC -1 LTR</t>
  </si>
  <si>
    <t>FENOXAPROP-P-ETHYL 9.3% EC -500 ML</t>
  </si>
  <si>
    <t>FENOXAPROP-P-ETHYL 9.3% EC -250 ML</t>
  </si>
  <si>
    <t>FENOXAPROP-P-ETHYL 9.3% EC -100 ML</t>
  </si>
  <si>
    <t>WILSUTRA</t>
  </si>
  <si>
    <t>CHLORANTRANILIPROLE 18.5% SC - 600 ML</t>
  </si>
  <si>
    <t>CHLORANTRANILIPROLE 18.5% SC - 300 ML</t>
  </si>
  <si>
    <t>CHLORANTRANILIPROLE 18.5% SC - 150 ML</t>
  </si>
  <si>
    <t>CHLORANTRANILIPROLE 18.5% SC - 60 ML</t>
  </si>
  <si>
    <t>CHLORANTRANILIPROLE 18.5% SC - 30 ML</t>
  </si>
  <si>
    <t>CHLORANTRANILIPROLE 18.5% SC - 10 ML</t>
  </si>
  <si>
    <t>WILL-TAN</t>
  </si>
  <si>
    <t>CAPTAN 50% WP - 1 KG</t>
  </si>
  <si>
    <t>CAPTAN 50% WP - 500 GM</t>
  </si>
  <si>
    <t>WILTAP</t>
  </si>
  <si>
    <t>CARTAP 4G - 5 KG</t>
  </si>
  <si>
    <t>WILTAP -50</t>
  </si>
  <si>
    <t>CARTAP 50 % SP -1 KG</t>
  </si>
  <si>
    <t>CARTAP 50 % SP - 500 GM</t>
  </si>
  <si>
    <t>CARTAP 50 % SP - 250 GM(10KG)</t>
  </si>
  <si>
    <t>CARTAP 50 % SP - 100 GM</t>
  </si>
  <si>
    <t>WILTARA</t>
  </si>
  <si>
    <t>CHLORANTRANILIPROLE 0.4% GR - 6 KG</t>
  </si>
  <si>
    <t>CHLORANTRANILIPROLE 0.4% GR - 4 KG</t>
  </si>
  <si>
    <t>CHLORANTRANILIPROLE 0.4% GR - 1 KG</t>
  </si>
  <si>
    <t>WILTEMBO</t>
  </si>
  <si>
    <t>TEMBOTRIONE 34.4 % SC - 230 ML</t>
  </si>
  <si>
    <t>TEMBOTRIONE 34.4 % SC - 115 ML</t>
  </si>
  <si>
    <t>TEMBOTRIONE 34.4 % SC - 57.5 ML</t>
  </si>
  <si>
    <t>WILTEZ</t>
  </si>
  <si>
    <t>AZOXYSTROBIN 11% + TEBUCONAZOLE 18.3% SC - 1 LTR</t>
  </si>
  <si>
    <t>AZOXYSTROBIN 11% + TEBUCONAZOLE 18.3% SC - 500 ML</t>
  </si>
  <si>
    <t>AZOXYSTROBIN 11% + TEBUCONAZOLE 18.3% SC - 250 ML</t>
  </si>
  <si>
    <t>AZOXYSTROBIN 11% + TEBUCONAZOLE 18.3% SC - 100 ML</t>
  </si>
  <si>
    <t>WILTHORA</t>
  </si>
  <si>
    <t>NOVALURON 5.25% SC+ INDOXACARB 4.5% SC - 1 LTR</t>
  </si>
  <si>
    <t>NOVALURON 5.25% SC+ INDOXACARB 4.5% SC - 500 ML</t>
  </si>
  <si>
    <t>NOVALURON 5.25% SC+ INDOXACARB 4.5% SC - 350 ML</t>
  </si>
  <si>
    <t>WILTHRIN</t>
  </si>
  <si>
    <t>BIFENTHRIN 10% EC - 1 LTR</t>
  </si>
  <si>
    <t>BIFENTHRIN 10% EC - 500 ML</t>
  </si>
  <si>
    <t>BIFENTHRIN 10% EC - 250 ML</t>
  </si>
  <si>
    <t>BIFENTHRIN 10% EC - 100 ML</t>
  </si>
  <si>
    <t>WILTOPRA</t>
  </si>
  <si>
    <t>TOPRAMEZONE 33.6 % SC - 75 ML</t>
  </si>
  <si>
    <t>TOPRAMEZONE 33.6 % SC - 30 ML</t>
  </si>
  <si>
    <t>TOPRAMEZONE 33.6 % SC - 15 ML</t>
  </si>
  <si>
    <t>WILTOX</t>
  </si>
  <si>
    <t>HEXITHIAZOX 5.45% EC - 5 LTR</t>
  </si>
  <si>
    <t>HEXITHIAZOX 5.45% EC - 1 LTR</t>
  </si>
  <si>
    <t>HEXITHIAZOX 5.45% EC - 500 ML</t>
  </si>
  <si>
    <t>HEXITHIAZOX 5.45% EC - 250 ML</t>
  </si>
  <si>
    <t>HEXITHIAZOX 5.45% EC - 100 ML</t>
  </si>
  <si>
    <t>WILTRY</t>
  </si>
  <si>
    <t>TRICYCLAZOLE 75% WP - 250 GM</t>
  </si>
  <si>
    <t>TRICYCLAZOLE 75% WP - 120 GM</t>
  </si>
  <si>
    <t>WYRAZO</t>
  </si>
  <si>
    <t>PYRAZOSULFURON ETHYL 10% WP - 80 GM</t>
  </si>
  <si>
    <t>PYRAZOSULFURON ETHYL 10% WP - 20 GM</t>
  </si>
  <si>
    <t>Unit Price
Incl.GST</t>
  </si>
  <si>
    <t>ZONE : COASTAL AP</t>
  </si>
  <si>
    <t>ABA-WIL</t>
  </si>
  <si>
    <t>ABAMECTIN 1.9% EC - 500 ML</t>
  </si>
  <si>
    <t>ABAMECTIN 1.9% EC - 250 ML</t>
  </si>
  <si>
    <t>ABAMECTIN 1.9% EC - 100 ML</t>
  </si>
  <si>
    <t>WILMASTER</t>
  </si>
  <si>
    <t>MESOTRIONE 2.27% + ATRAZINE 22.7% SC - 3.5 LTR</t>
  </si>
  <si>
    <t>MESOTRIONE 2.27% + ATRAZINE 22.7% SC - 1.4 LTR</t>
  </si>
  <si>
    <t>MESOTRIONE 2.27% + ATRAZINE 22.7% SC - 700 ML</t>
  </si>
  <si>
    <t>WILOGIL</t>
  </si>
  <si>
    <t>PROPAQUIZAFOP 10% EC - 1 LTR</t>
  </si>
  <si>
    <t>PROPAQUIZAFOP 10% EC - 500 ML</t>
  </si>
  <si>
    <t>PROPAQUIZAFOP 10% EC - 250 ML</t>
  </si>
  <si>
    <t>PROPAQUIZAFOP 10% EC - 100 ML</t>
  </si>
  <si>
    <t>INDOMINUS</t>
  </si>
  <si>
    <t>CLETHODIM 25% EC - 1 LTR</t>
  </si>
  <si>
    <t>CLETHODIM 25% EC - 400 ML</t>
  </si>
  <si>
    <t>CLETHODIM 25% EC - 200 ML</t>
  </si>
  <si>
    <t>CARTAP 4G - 1 KG</t>
  </si>
  <si>
    <t>PARAQUAT DICHLORIDE 24% + OXYFLUORFEN 5% SC - 600 ML</t>
  </si>
  <si>
    <t>PARAQUAT DICHLORIDE 24% + OXYFLUORFEN 5% SC - 300 ML</t>
  </si>
  <si>
    <t>PYRA-FLOX</t>
  </si>
  <si>
    <t>FLONICAMID 15% + PYRIPROXIFEN 12% + ACETAMIPRID 2% ME - 1 LTR</t>
  </si>
  <si>
    <t>FLONICAMID 15% + PYRIPROXIFEN 12% + ACETAMIPRID 2% ME - 500 ML</t>
  </si>
  <si>
    <t>FLONICAMID 15% + PYRIPROXIFEN 12% + ACETAMIPRID 2% ME - 200 ML</t>
  </si>
  <si>
    <t>FLONICAMID 15% + PYRIPROXIFEN 12% + ACETAMIPRID 2% ME - 100 ML</t>
  </si>
  <si>
    <t>FLONICAMID 15% + PYRIPROXIFEN 12% + ACETAMIPRID 2% ME - 50 ML</t>
  </si>
  <si>
    <t>LEOPARD  70 WG</t>
  </si>
  <si>
    <t>IMIDACHLOPRID 70 % WG - 150 GM</t>
  </si>
  <si>
    <t>PERPLEX</t>
  </si>
  <si>
    <t>FENOXAPROP-P-ETHYL 6%+PYRAZOSULFURON ETHYL 1.5%+PRETILACHLOR 50% ME - 1 LTR</t>
  </si>
  <si>
    <t>Remarks</t>
  </si>
  <si>
    <t>No TOD</t>
  </si>
  <si>
    <t>WILGUARD</t>
  </si>
  <si>
    <t>DINOTEFURAN 15% + PYMETROZINE 45% WG - 1.332 KG</t>
  </si>
  <si>
    <t>DINOTEFURAN 15% + PYMETROZINE 45% WG - 666 GM</t>
  </si>
  <si>
    <t>DINOTEFURAN 15% + PYMETROZINE 45% WG - 333 GM</t>
  </si>
  <si>
    <t>DINOTEFURAN 15% + PYMETROZINE 45% WG - 133.2 GM</t>
  </si>
  <si>
    <t>WILGROW</t>
  </si>
  <si>
    <t>BULK PROTEIN HYDROLYSATES 25% SL - 1 LTR</t>
  </si>
  <si>
    <t>BULK PROTEIN HYDROLYSATES 25% SL - 500 ML</t>
  </si>
  <si>
    <t>BULK PROTEIN HYDROLYSATES 25% SL - 250 ML</t>
  </si>
  <si>
    <t>BULK PROTEIN HYDROLYSATES 25% SL - 100 ML</t>
  </si>
  <si>
    <t>Price
(Incl GST)</t>
  </si>
  <si>
    <t>PRICE LIST-OCTOBER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</si>
</sst>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8" fillId="0" borderId="0" xfId="0" applyFont="1"/>
    <xf numFmtId="14" fontId="8" fillId="0" borderId="0" xfId="0" applyNumberFormat="1" applyFont="1" applyAlignment="1">
      <alignment horizontal="center"/>
    </xf>
    <xf numFmtId="164" fontId="6" fillId="3" borderId="1" xfId="1" quotePrefix="1" applyFont="1" applyFill="1" applyBorder="1" applyAlignment="1">
      <alignment horizontal="center"/>
    </xf>
    <xf numFmtId="164" fontId="6" fillId="3" borderId="1" xfId="1" applyFont="1" applyFill="1" applyBorder="1" applyAlignment="1">
      <alignment horizontal="center"/>
    </xf>
    <xf numFmtId="164" fontId="2" fillId="4" borderId="1" xfId="1" applyFont="1" applyFill="1" applyBorder="1" applyAlignment="1"/>
    <xf numFmtId="43" fontId="5" fillId="2" borderId="1" xfId="2" applyNumberFormat="1" applyFill="1" applyBorder="1"/>
    <xf numFmtId="0" fontId="8" fillId="0" borderId="0" xfId="0" applyFont="1" applyAlignment="1">
      <alignment horizontal="center"/>
    </xf>
    <xf numFmtId="0" fontId="6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1" fillId="0" borderId="1" xfId="2" applyFont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/>
    </xf>
    <xf numFmtId="43" fontId="5" fillId="6" borderId="1" xfId="2" applyNumberFormat="1" applyFill="1" applyBorder="1"/>
    <xf numFmtId="164" fontId="0" fillId="0" borderId="1" xfId="1" applyFont="1" applyBorder="1"/>
    <xf numFmtId="0" fontId="8" fillId="0" borderId="0" xfId="0" applyFont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</cellStyles>
  <dxfs count="1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9"/>
  <sheetViews>
    <sheetView tabSelected="1" workbookViewId="0">
      <pane xSplit="7" ySplit="5" topLeftCell="M6" activePane="bottomRight" state="frozen"/>
      <selection pane="topRight" activeCell="H1" sqref="H1"/>
      <selection pane="bottomLeft" activeCell="A6" sqref="A6"/>
      <selection pane="bottomRight" activeCell="N5" sqref="N5"/>
    </sheetView>
  </sheetViews>
  <sheetFormatPr defaultRowHeight="15.5" x14ac:dyDescent="0.35"/>
  <cols>
    <col min="1" max="1" width="3.5" bestFit="1" customWidth="1"/>
    <col min="2" max="2" width="12.75" bestFit="1" customWidth="1"/>
    <col min="3" max="3" width="12.5" bestFit="1" customWidth="1"/>
    <col min="4" max="4" width="5.33203125" bestFit="1" customWidth="1"/>
    <col min="5" max="5" width="13.83203125" bestFit="1" customWidth="1"/>
    <col min="6" max="6" width="10.08203125" bestFit="1" customWidth="1"/>
    <col min="7" max="7" width="60.58203125" customWidth="1"/>
    <col min="8" max="8" width="10.58203125" bestFit="1" customWidth="1"/>
    <col min="9" max="9" width="9" customWidth="1"/>
    <col min="10" max="10" width="10.25" bestFit="1" customWidth="1"/>
    <col min="11" max="11" width="9.08203125" bestFit="1" customWidth="1"/>
    <col min="12" max="12" width="10.08203125" bestFit="1" customWidth="1"/>
  </cols>
  <sheetData>
    <row r="1" spans="1:14" x14ac:dyDescent="0.35">
      <c r="A1" s="15" t="s">
        <v>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4" x14ac:dyDescent="0.35">
      <c r="A3" s="1" t="s">
        <v>605</v>
      </c>
      <c r="F3" s="2"/>
      <c r="G3" s="7" t="s">
        <v>561</v>
      </c>
      <c r="H3" s="1"/>
    </row>
    <row r="5" spans="1:14" ht="29" x14ac:dyDescent="0.35">
      <c r="A5" s="12" t="s">
        <v>0</v>
      </c>
      <c r="B5" s="12" t="s">
        <v>1</v>
      </c>
      <c r="C5" s="12" t="s">
        <v>2</v>
      </c>
      <c r="D5" s="12" t="s">
        <v>10</v>
      </c>
      <c r="E5" s="12" t="s">
        <v>5</v>
      </c>
      <c r="F5" s="12" t="s">
        <v>3</v>
      </c>
      <c r="G5" s="12" t="s">
        <v>4</v>
      </c>
      <c r="H5" s="12" t="s">
        <v>6</v>
      </c>
      <c r="I5" s="12" t="s">
        <v>7</v>
      </c>
      <c r="J5" s="12" t="s">
        <v>8</v>
      </c>
      <c r="K5" s="12" t="s">
        <v>11</v>
      </c>
      <c r="L5" s="12" t="s">
        <v>604</v>
      </c>
      <c r="M5" s="12" t="s">
        <v>560</v>
      </c>
      <c r="N5" s="12" t="s">
        <v>592</v>
      </c>
    </row>
    <row r="6" spans="1:14" ht="15.75" customHeight="1" x14ac:dyDescent="0.35">
      <c r="A6" s="11">
        <v>1</v>
      </c>
      <c r="B6" s="8" t="s">
        <v>12</v>
      </c>
      <c r="C6" s="8" t="s">
        <v>13</v>
      </c>
      <c r="D6" s="8">
        <v>8622</v>
      </c>
      <c r="E6" s="8" t="s">
        <v>14</v>
      </c>
      <c r="F6" s="9">
        <v>810001577</v>
      </c>
      <c r="G6" s="10" t="s">
        <v>15</v>
      </c>
      <c r="H6" s="3">
        <v>7550</v>
      </c>
      <c r="I6" s="4">
        <v>7550</v>
      </c>
      <c r="J6" s="5">
        <v>4650</v>
      </c>
      <c r="K6" s="6">
        <v>18</v>
      </c>
      <c r="L6" s="6">
        <f t="shared" ref="L6:L69" si="0">J6*(100+K6)%</f>
        <v>5487</v>
      </c>
      <c r="M6" s="13">
        <f>L6/1</f>
        <v>5487</v>
      </c>
      <c r="N6" s="14" t="s">
        <v>593</v>
      </c>
    </row>
    <row r="7" spans="1:14" ht="15.75" customHeight="1" x14ac:dyDescent="0.35">
      <c r="A7" s="11">
        <v>2</v>
      </c>
      <c r="B7" s="8" t="s">
        <v>12</v>
      </c>
      <c r="C7" s="8" t="s">
        <v>13</v>
      </c>
      <c r="D7" s="8">
        <v>8622</v>
      </c>
      <c r="E7" s="8" t="s">
        <v>14</v>
      </c>
      <c r="F7" s="9">
        <v>810001578</v>
      </c>
      <c r="G7" s="10" t="s">
        <v>16</v>
      </c>
      <c r="H7" s="3">
        <v>3850</v>
      </c>
      <c r="I7" s="4">
        <v>7700</v>
      </c>
      <c r="J7" s="5">
        <v>4700</v>
      </c>
      <c r="K7" s="6">
        <v>18</v>
      </c>
      <c r="L7" s="6">
        <f t="shared" si="0"/>
        <v>5546</v>
      </c>
      <c r="M7" s="13">
        <f>L7/2</f>
        <v>2773</v>
      </c>
      <c r="N7" s="14" t="s">
        <v>593</v>
      </c>
    </row>
    <row r="8" spans="1:14" ht="15.75" customHeight="1" x14ac:dyDescent="0.35">
      <c r="A8" s="11">
        <v>3</v>
      </c>
      <c r="B8" s="8" t="s">
        <v>12</v>
      </c>
      <c r="C8" s="8" t="s">
        <v>13</v>
      </c>
      <c r="D8" s="8">
        <v>8622</v>
      </c>
      <c r="E8" s="8" t="s">
        <v>14</v>
      </c>
      <c r="F8" s="9">
        <v>810001579</v>
      </c>
      <c r="G8" s="10" t="s">
        <v>17</v>
      </c>
      <c r="H8" s="3">
        <v>1950</v>
      </c>
      <c r="I8" s="4">
        <v>7800</v>
      </c>
      <c r="J8" s="5">
        <v>4800</v>
      </c>
      <c r="K8" s="6">
        <v>18</v>
      </c>
      <c r="L8" s="6">
        <f t="shared" si="0"/>
        <v>5664</v>
      </c>
      <c r="M8" s="13">
        <f>L8/4</f>
        <v>1416</v>
      </c>
      <c r="N8" s="14" t="s">
        <v>593</v>
      </c>
    </row>
    <row r="9" spans="1:14" ht="15.75" customHeight="1" x14ac:dyDescent="0.35">
      <c r="A9" s="11">
        <v>4</v>
      </c>
      <c r="B9" s="8" t="s">
        <v>12</v>
      </c>
      <c r="C9" s="8" t="s">
        <v>13</v>
      </c>
      <c r="D9" s="8">
        <v>8622</v>
      </c>
      <c r="E9" s="8" t="s">
        <v>14</v>
      </c>
      <c r="F9" s="9">
        <v>810001580</v>
      </c>
      <c r="G9" s="10" t="s">
        <v>18</v>
      </c>
      <c r="H9" s="3">
        <v>850</v>
      </c>
      <c r="I9" s="4">
        <v>8500</v>
      </c>
      <c r="J9" s="5">
        <v>4950</v>
      </c>
      <c r="K9" s="6">
        <v>18</v>
      </c>
      <c r="L9" s="6">
        <f t="shared" si="0"/>
        <v>5841</v>
      </c>
      <c r="M9" s="13">
        <f>L9/10</f>
        <v>584.1</v>
      </c>
      <c r="N9" s="14" t="s">
        <v>593</v>
      </c>
    </row>
    <row r="10" spans="1:14" ht="15.75" customHeight="1" x14ac:dyDescent="0.35">
      <c r="A10" s="11">
        <v>5</v>
      </c>
      <c r="B10" s="8" t="s">
        <v>19</v>
      </c>
      <c r="C10" s="8" t="s">
        <v>20</v>
      </c>
      <c r="D10" s="8">
        <v>8542</v>
      </c>
      <c r="E10" s="8" t="s">
        <v>21</v>
      </c>
      <c r="F10" s="9">
        <v>810001335</v>
      </c>
      <c r="G10" s="10" t="s">
        <v>22</v>
      </c>
      <c r="H10" s="3">
        <v>2000</v>
      </c>
      <c r="I10" s="4">
        <v>500</v>
      </c>
      <c r="J10" s="5">
        <v>167</v>
      </c>
      <c r="K10" s="6">
        <v>18</v>
      </c>
      <c r="L10" s="6">
        <f t="shared" si="0"/>
        <v>197.06</v>
      </c>
      <c r="M10" s="13">
        <f>L10*4</f>
        <v>788.24</v>
      </c>
      <c r="N10" s="14" t="s">
        <v>593</v>
      </c>
    </row>
    <row r="11" spans="1:14" ht="15.75" customHeight="1" x14ac:dyDescent="0.35">
      <c r="A11" s="11">
        <v>6</v>
      </c>
      <c r="B11" s="8" t="s">
        <v>19</v>
      </c>
      <c r="C11" s="8" t="s">
        <v>23</v>
      </c>
      <c r="D11" s="8">
        <v>8001</v>
      </c>
      <c r="E11" s="8" t="s">
        <v>24</v>
      </c>
      <c r="F11" s="9">
        <v>810000008</v>
      </c>
      <c r="G11" s="10" t="s">
        <v>25</v>
      </c>
      <c r="H11" s="3">
        <v>1701</v>
      </c>
      <c r="I11" s="4">
        <v>1701</v>
      </c>
      <c r="J11" s="5">
        <v>635</v>
      </c>
      <c r="K11" s="6">
        <v>18</v>
      </c>
      <c r="L11" s="6">
        <f t="shared" si="0"/>
        <v>749.3</v>
      </c>
      <c r="M11" s="13">
        <f>L11*1</f>
        <v>749.3</v>
      </c>
      <c r="N11" s="14"/>
    </row>
    <row r="12" spans="1:14" ht="15.75" customHeight="1" x14ac:dyDescent="0.35">
      <c r="A12" s="11">
        <v>7</v>
      </c>
      <c r="B12" s="8" t="s">
        <v>19</v>
      </c>
      <c r="C12" s="8" t="s">
        <v>23</v>
      </c>
      <c r="D12" s="8">
        <v>8001</v>
      </c>
      <c r="E12" s="8" t="s">
        <v>24</v>
      </c>
      <c r="F12" s="9">
        <v>810000014</v>
      </c>
      <c r="G12" s="10" t="s">
        <v>26</v>
      </c>
      <c r="H12" s="3">
        <v>891</v>
      </c>
      <c r="I12" s="4">
        <v>1782</v>
      </c>
      <c r="J12" s="5">
        <v>661</v>
      </c>
      <c r="K12" s="6">
        <v>18</v>
      </c>
      <c r="L12" s="6">
        <f t="shared" si="0"/>
        <v>779.9799999999999</v>
      </c>
      <c r="M12" s="13">
        <f>L12/2</f>
        <v>389.98999999999995</v>
      </c>
      <c r="N12" s="14"/>
    </row>
    <row r="13" spans="1:14" ht="15.75" customHeight="1" x14ac:dyDescent="0.35">
      <c r="A13" s="11">
        <v>8</v>
      </c>
      <c r="B13" s="8" t="s">
        <v>19</v>
      </c>
      <c r="C13" s="8" t="s">
        <v>23</v>
      </c>
      <c r="D13" s="8">
        <v>8001</v>
      </c>
      <c r="E13" s="8" t="s">
        <v>24</v>
      </c>
      <c r="F13" s="9">
        <v>810000013</v>
      </c>
      <c r="G13" s="10" t="s">
        <v>27</v>
      </c>
      <c r="H13" s="3">
        <v>501</v>
      </c>
      <c r="I13" s="4">
        <v>2004</v>
      </c>
      <c r="J13" s="5">
        <v>693</v>
      </c>
      <c r="K13" s="6">
        <v>18</v>
      </c>
      <c r="L13" s="6">
        <f t="shared" si="0"/>
        <v>817.74</v>
      </c>
      <c r="M13" s="13">
        <f>L13/4</f>
        <v>204.435</v>
      </c>
      <c r="N13" s="14"/>
    </row>
    <row r="14" spans="1:14" ht="15.75" customHeight="1" x14ac:dyDescent="0.35">
      <c r="A14" s="11">
        <v>9</v>
      </c>
      <c r="B14" s="8" t="s">
        <v>19</v>
      </c>
      <c r="C14" s="8" t="s">
        <v>23</v>
      </c>
      <c r="D14" s="8">
        <v>8001</v>
      </c>
      <c r="E14" s="8" t="s">
        <v>24</v>
      </c>
      <c r="F14" s="9">
        <v>810000010</v>
      </c>
      <c r="G14" s="10" t="s">
        <v>28</v>
      </c>
      <c r="H14" s="3">
        <v>211</v>
      </c>
      <c r="I14" s="4">
        <v>2110</v>
      </c>
      <c r="J14" s="5">
        <v>720</v>
      </c>
      <c r="K14" s="6">
        <v>18</v>
      </c>
      <c r="L14" s="6">
        <f t="shared" si="0"/>
        <v>849.59999999999991</v>
      </c>
      <c r="M14" s="13">
        <f>L14/10</f>
        <v>84.96</v>
      </c>
      <c r="N14" s="14"/>
    </row>
    <row r="15" spans="1:14" ht="15.75" customHeight="1" x14ac:dyDescent="0.35">
      <c r="A15" s="11">
        <v>10</v>
      </c>
      <c r="B15" s="8" t="s">
        <v>19</v>
      </c>
      <c r="C15" s="8" t="s">
        <v>23</v>
      </c>
      <c r="D15" s="8">
        <v>8001</v>
      </c>
      <c r="E15" s="8" t="s">
        <v>24</v>
      </c>
      <c r="F15" s="9">
        <v>810001241</v>
      </c>
      <c r="G15" s="10" t="s">
        <v>29</v>
      </c>
      <c r="H15" s="3">
        <v>121</v>
      </c>
      <c r="I15" s="4">
        <v>2420</v>
      </c>
      <c r="J15" s="5">
        <v>820</v>
      </c>
      <c r="K15" s="6">
        <v>18</v>
      </c>
      <c r="L15" s="6">
        <f t="shared" si="0"/>
        <v>967.59999999999991</v>
      </c>
      <c r="M15" s="13">
        <f>L15/20</f>
        <v>48.379999999999995</v>
      </c>
      <c r="N15" s="14"/>
    </row>
    <row r="16" spans="1:14" ht="15.75" customHeight="1" x14ac:dyDescent="0.35">
      <c r="A16" s="11">
        <v>11</v>
      </c>
      <c r="B16" s="8" t="s">
        <v>19</v>
      </c>
      <c r="C16" s="8" t="s">
        <v>23</v>
      </c>
      <c r="D16" s="8">
        <v>8001</v>
      </c>
      <c r="E16" s="8" t="s">
        <v>24</v>
      </c>
      <c r="F16" s="9">
        <v>810000011</v>
      </c>
      <c r="G16" s="10" t="s">
        <v>30</v>
      </c>
      <c r="H16" s="3">
        <v>61</v>
      </c>
      <c r="I16" s="4">
        <v>3050</v>
      </c>
      <c r="J16" s="5">
        <v>979</v>
      </c>
      <c r="K16" s="6">
        <v>18</v>
      </c>
      <c r="L16" s="6">
        <f t="shared" si="0"/>
        <v>1155.22</v>
      </c>
      <c r="M16" s="13">
        <f>L16/50</f>
        <v>23.104400000000002</v>
      </c>
      <c r="N16" s="14"/>
    </row>
    <row r="17" spans="1:14" ht="15.75" customHeight="1" x14ac:dyDescent="0.35">
      <c r="A17" s="11">
        <v>12</v>
      </c>
      <c r="B17" s="8" t="s">
        <v>31</v>
      </c>
      <c r="C17" s="8" t="s">
        <v>20</v>
      </c>
      <c r="D17" s="8">
        <v>8426</v>
      </c>
      <c r="E17" s="8" t="s">
        <v>32</v>
      </c>
      <c r="F17" s="9">
        <v>810000954</v>
      </c>
      <c r="G17" s="10" t="s">
        <v>33</v>
      </c>
      <c r="H17" s="3">
        <v>375</v>
      </c>
      <c r="I17" s="4">
        <v>750</v>
      </c>
      <c r="J17" s="5">
        <v>337</v>
      </c>
      <c r="K17" s="6">
        <v>18</v>
      </c>
      <c r="L17" s="6">
        <f t="shared" si="0"/>
        <v>397.65999999999997</v>
      </c>
      <c r="M17" s="13">
        <f>L17/2</f>
        <v>198.82999999999998</v>
      </c>
      <c r="N17" s="14"/>
    </row>
    <row r="18" spans="1:14" ht="15.75" customHeight="1" x14ac:dyDescent="0.35">
      <c r="A18" s="11">
        <v>13</v>
      </c>
      <c r="B18" s="8" t="s">
        <v>31</v>
      </c>
      <c r="C18" s="8" t="s">
        <v>20</v>
      </c>
      <c r="D18" s="8">
        <v>8426</v>
      </c>
      <c r="E18" s="8" t="s">
        <v>32</v>
      </c>
      <c r="F18" s="9">
        <v>810001432</v>
      </c>
      <c r="G18" s="10" t="s">
        <v>34</v>
      </c>
      <c r="H18" s="3">
        <v>205</v>
      </c>
      <c r="I18" s="4">
        <v>820</v>
      </c>
      <c r="J18" s="5">
        <v>353</v>
      </c>
      <c r="K18" s="6">
        <v>18</v>
      </c>
      <c r="L18" s="6">
        <f t="shared" si="0"/>
        <v>416.53999999999996</v>
      </c>
      <c r="M18" s="13">
        <f>L18/2</f>
        <v>208.26999999999998</v>
      </c>
      <c r="N18" s="14"/>
    </row>
    <row r="19" spans="1:14" ht="15.75" customHeight="1" x14ac:dyDescent="0.35">
      <c r="A19" s="11">
        <v>14</v>
      </c>
      <c r="B19" s="8" t="s">
        <v>19</v>
      </c>
      <c r="C19" s="8" t="s">
        <v>23</v>
      </c>
      <c r="D19" s="8">
        <v>8605</v>
      </c>
      <c r="E19" s="8" t="s">
        <v>35</v>
      </c>
      <c r="F19" s="9">
        <v>810001524</v>
      </c>
      <c r="G19" s="10" t="s">
        <v>36</v>
      </c>
      <c r="H19" s="3">
        <v>2533</v>
      </c>
      <c r="I19" s="4">
        <v>74500</v>
      </c>
      <c r="J19" s="5">
        <v>37755</v>
      </c>
      <c r="K19" s="6">
        <v>18</v>
      </c>
      <c r="L19" s="6">
        <f t="shared" si="0"/>
        <v>44550.899999999994</v>
      </c>
      <c r="M19" s="13">
        <f>L19/1000*34</f>
        <v>1514.7305999999996</v>
      </c>
      <c r="N19" s="14"/>
    </row>
    <row r="20" spans="1:14" ht="15.75" customHeight="1" x14ac:dyDescent="0.35">
      <c r="A20" s="11">
        <v>15</v>
      </c>
      <c r="B20" s="8" t="s">
        <v>19</v>
      </c>
      <c r="C20" s="8" t="s">
        <v>23</v>
      </c>
      <c r="D20" s="8">
        <v>8605</v>
      </c>
      <c r="E20" s="8" t="s">
        <v>35</v>
      </c>
      <c r="F20" s="9">
        <v>810001525</v>
      </c>
      <c r="G20" s="10" t="s">
        <v>37</v>
      </c>
      <c r="H20" s="3">
        <v>1326</v>
      </c>
      <c r="I20" s="4">
        <v>78000</v>
      </c>
      <c r="J20" s="5">
        <v>39286</v>
      </c>
      <c r="K20" s="6">
        <v>18</v>
      </c>
      <c r="L20" s="6">
        <f t="shared" si="0"/>
        <v>46357.479999999996</v>
      </c>
      <c r="M20" s="13">
        <f>L20/1000*17</f>
        <v>788.07715999999994</v>
      </c>
      <c r="N20" s="14"/>
    </row>
    <row r="21" spans="1:14" ht="15.75" customHeight="1" x14ac:dyDescent="0.35">
      <c r="A21" s="11">
        <v>16</v>
      </c>
      <c r="B21" s="8" t="s">
        <v>19</v>
      </c>
      <c r="C21" s="8" t="s">
        <v>23</v>
      </c>
      <c r="D21" s="8">
        <v>8605</v>
      </c>
      <c r="E21" s="8" t="s">
        <v>35</v>
      </c>
      <c r="F21" s="9">
        <v>810001526</v>
      </c>
      <c r="G21" s="10" t="s">
        <v>38</v>
      </c>
      <c r="H21" s="3">
        <v>731</v>
      </c>
      <c r="I21" s="4">
        <v>86000</v>
      </c>
      <c r="J21" s="5">
        <v>43367</v>
      </c>
      <c r="K21" s="6">
        <v>18</v>
      </c>
      <c r="L21" s="6">
        <f t="shared" si="0"/>
        <v>51173.06</v>
      </c>
      <c r="M21" s="13">
        <f>L21/1000*8.5</f>
        <v>434.97100999999998</v>
      </c>
      <c r="N21" s="14"/>
    </row>
    <row r="22" spans="1:14" ht="15.75" customHeight="1" x14ac:dyDescent="0.35">
      <c r="A22" s="11">
        <v>17</v>
      </c>
      <c r="B22" s="8" t="s">
        <v>12</v>
      </c>
      <c r="C22" s="8" t="s">
        <v>23</v>
      </c>
      <c r="D22" s="8">
        <v>8529</v>
      </c>
      <c r="E22" s="8" t="s">
        <v>39</v>
      </c>
      <c r="F22" s="9">
        <v>810001281</v>
      </c>
      <c r="G22" s="10" t="s">
        <v>40</v>
      </c>
      <c r="H22" s="3">
        <v>2500</v>
      </c>
      <c r="I22" s="4">
        <v>2500</v>
      </c>
      <c r="J22" s="5">
        <v>1201</v>
      </c>
      <c r="K22" s="6">
        <v>18</v>
      </c>
      <c r="L22" s="6">
        <f t="shared" si="0"/>
        <v>1417.1799999999998</v>
      </c>
      <c r="M22" s="13">
        <f>L22/1</f>
        <v>1417.1799999999998</v>
      </c>
      <c r="N22" s="14"/>
    </row>
    <row r="23" spans="1:14" ht="15.75" customHeight="1" x14ac:dyDescent="0.35">
      <c r="A23" s="11">
        <v>18</v>
      </c>
      <c r="B23" s="8" t="s">
        <v>12</v>
      </c>
      <c r="C23" s="8" t="s">
        <v>23</v>
      </c>
      <c r="D23" s="8">
        <v>8529</v>
      </c>
      <c r="E23" s="8" t="s">
        <v>39</v>
      </c>
      <c r="F23" s="9">
        <v>810001282</v>
      </c>
      <c r="G23" s="10" t="s">
        <v>41</v>
      </c>
      <c r="H23" s="3">
        <v>1350</v>
      </c>
      <c r="I23" s="4">
        <v>2700</v>
      </c>
      <c r="J23" s="5">
        <v>1254</v>
      </c>
      <c r="K23" s="6">
        <v>18</v>
      </c>
      <c r="L23" s="6">
        <f t="shared" si="0"/>
        <v>1479.72</v>
      </c>
      <c r="M23" s="13">
        <f>L23/2</f>
        <v>739.86</v>
      </c>
      <c r="N23" s="14"/>
    </row>
    <row r="24" spans="1:14" ht="15.75" customHeight="1" x14ac:dyDescent="0.35">
      <c r="A24" s="11">
        <v>19</v>
      </c>
      <c r="B24" s="8" t="s">
        <v>12</v>
      </c>
      <c r="C24" s="8" t="s">
        <v>23</v>
      </c>
      <c r="D24" s="8">
        <v>8529</v>
      </c>
      <c r="E24" s="8" t="s">
        <v>39</v>
      </c>
      <c r="F24" s="9">
        <v>810001283</v>
      </c>
      <c r="G24" s="10" t="s">
        <v>42</v>
      </c>
      <c r="H24" s="3">
        <v>600</v>
      </c>
      <c r="I24" s="4">
        <v>3000</v>
      </c>
      <c r="J24" s="5">
        <v>1360</v>
      </c>
      <c r="K24" s="6">
        <v>18</v>
      </c>
      <c r="L24" s="6">
        <f t="shared" si="0"/>
        <v>1604.8</v>
      </c>
      <c r="M24" s="13">
        <f>L24/5</f>
        <v>320.95999999999998</v>
      </c>
      <c r="N24" s="14"/>
    </row>
    <row r="25" spans="1:14" ht="15.75" customHeight="1" x14ac:dyDescent="0.35">
      <c r="A25" s="11">
        <v>20</v>
      </c>
      <c r="B25" s="8" t="s">
        <v>12</v>
      </c>
      <c r="C25" s="8" t="s">
        <v>23</v>
      </c>
      <c r="D25" s="8">
        <v>8529</v>
      </c>
      <c r="E25" s="8" t="s">
        <v>39</v>
      </c>
      <c r="F25" s="9">
        <v>810001284</v>
      </c>
      <c r="G25" s="10" t="s">
        <v>43</v>
      </c>
      <c r="H25" s="3">
        <v>350</v>
      </c>
      <c r="I25" s="4">
        <v>3500</v>
      </c>
      <c r="J25" s="5">
        <v>1519</v>
      </c>
      <c r="K25" s="6">
        <v>18</v>
      </c>
      <c r="L25" s="6">
        <f t="shared" si="0"/>
        <v>1792.4199999999998</v>
      </c>
      <c r="M25" s="13">
        <f>L25/10</f>
        <v>179.24199999999999</v>
      </c>
      <c r="N25" s="14"/>
    </row>
    <row r="26" spans="1:14" ht="15.75" customHeight="1" x14ac:dyDescent="0.35">
      <c r="A26" s="11">
        <v>21</v>
      </c>
      <c r="B26" s="8" t="s">
        <v>44</v>
      </c>
      <c r="C26" s="8" t="s">
        <v>45</v>
      </c>
      <c r="D26" s="8">
        <v>8513</v>
      </c>
      <c r="E26" s="8" t="s">
        <v>46</v>
      </c>
      <c r="F26" s="9">
        <v>810001212</v>
      </c>
      <c r="G26" s="10" t="s">
        <v>47</v>
      </c>
      <c r="H26" s="3">
        <v>4100</v>
      </c>
      <c r="I26" s="4">
        <v>4100</v>
      </c>
      <c r="J26" s="5">
        <v>3148</v>
      </c>
      <c r="K26" s="6">
        <v>18</v>
      </c>
      <c r="L26" s="6">
        <f t="shared" si="0"/>
        <v>3714.64</v>
      </c>
      <c r="M26" s="13">
        <f>L26*1</f>
        <v>3714.64</v>
      </c>
      <c r="N26" s="14"/>
    </row>
    <row r="27" spans="1:14" ht="15.75" customHeight="1" x14ac:dyDescent="0.35">
      <c r="A27" s="11">
        <v>22</v>
      </c>
      <c r="B27" s="8" t="s">
        <v>44</v>
      </c>
      <c r="C27" s="8" t="s">
        <v>45</v>
      </c>
      <c r="D27" s="8">
        <v>8513</v>
      </c>
      <c r="E27" s="8" t="s">
        <v>46</v>
      </c>
      <c r="F27" s="9">
        <v>810001213</v>
      </c>
      <c r="G27" s="10" t="s">
        <v>48</v>
      </c>
      <c r="H27" s="3">
        <v>2220</v>
      </c>
      <c r="I27" s="4">
        <v>4440</v>
      </c>
      <c r="J27" s="5">
        <v>3201</v>
      </c>
      <c r="K27" s="6">
        <v>18</v>
      </c>
      <c r="L27" s="6">
        <f t="shared" si="0"/>
        <v>3777.18</v>
      </c>
      <c r="M27" s="13">
        <f>L27/2</f>
        <v>1888.59</v>
      </c>
      <c r="N27" s="14"/>
    </row>
    <row r="28" spans="1:14" ht="15.75" customHeight="1" x14ac:dyDescent="0.35">
      <c r="A28" s="11">
        <v>23</v>
      </c>
      <c r="B28" s="8" t="s">
        <v>44</v>
      </c>
      <c r="C28" s="8" t="s">
        <v>45</v>
      </c>
      <c r="D28" s="8">
        <v>8513</v>
      </c>
      <c r="E28" s="8" t="s">
        <v>46</v>
      </c>
      <c r="F28" s="9">
        <v>810001214</v>
      </c>
      <c r="G28" s="10" t="s">
        <v>49</v>
      </c>
      <c r="H28" s="3">
        <v>1220</v>
      </c>
      <c r="I28" s="4">
        <v>4880</v>
      </c>
      <c r="J28" s="5">
        <v>3307</v>
      </c>
      <c r="K28" s="6">
        <v>18</v>
      </c>
      <c r="L28" s="6">
        <f t="shared" si="0"/>
        <v>3902.2599999999998</v>
      </c>
      <c r="M28" s="13">
        <f>L28/4</f>
        <v>975.56499999999994</v>
      </c>
      <c r="N28" s="14"/>
    </row>
    <row r="29" spans="1:14" ht="15.75" customHeight="1" x14ac:dyDescent="0.35">
      <c r="A29" s="11">
        <v>24</v>
      </c>
      <c r="B29" s="8" t="s">
        <v>44</v>
      </c>
      <c r="C29" s="8" t="s">
        <v>45</v>
      </c>
      <c r="D29" s="8">
        <v>8513</v>
      </c>
      <c r="E29" s="8" t="s">
        <v>46</v>
      </c>
      <c r="F29" s="9">
        <v>810001215</v>
      </c>
      <c r="G29" s="10" t="s">
        <v>50</v>
      </c>
      <c r="H29" s="3">
        <v>520</v>
      </c>
      <c r="I29" s="4">
        <v>5200</v>
      </c>
      <c r="J29" s="5">
        <v>3413</v>
      </c>
      <c r="K29" s="6">
        <v>18</v>
      </c>
      <c r="L29" s="6">
        <f t="shared" si="0"/>
        <v>4027.3399999999997</v>
      </c>
      <c r="M29" s="13">
        <f>L29/10</f>
        <v>402.73399999999998</v>
      </c>
      <c r="N29" s="14"/>
    </row>
    <row r="30" spans="1:14" ht="15.75" customHeight="1" x14ac:dyDescent="0.35">
      <c r="A30" s="11">
        <v>25</v>
      </c>
      <c r="B30" s="8" t="s">
        <v>44</v>
      </c>
      <c r="C30" s="8" t="s">
        <v>45</v>
      </c>
      <c r="D30" s="8">
        <v>8513</v>
      </c>
      <c r="E30" s="8" t="s">
        <v>46</v>
      </c>
      <c r="F30" s="9">
        <v>810001217</v>
      </c>
      <c r="G30" s="10" t="s">
        <v>51</v>
      </c>
      <c r="H30" s="3">
        <v>281</v>
      </c>
      <c r="I30" s="4">
        <v>5620</v>
      </c>
      <c r="J30" s="5">
        <v>3519</v>
      </c>
      <c r="K30" s="6">
        <v>18</v>
      </c>
      <c r="L30" s="6">
        <f t="shared" si="0"/>
        <v>4152.42</v>
      </c>
      <c r="M30" s="13">
        <f>L30/20</f>
        <v>207.62100000000001</v>
      </c>
      <c r="N30" s="14"/>
    </row>
    <row r="31" spans="1:14" ht="15.75" customHeight="1" x14ac:dyDescent="0.35">
      <c r="A31" s="11">
        <v>26</v>
      </c>
      <c r="B31" s="8" t="s">
        <v>44</v>
      </c>
      <c r="C31" s="8" t="s">
        <v>45</v>
      </c>
      <c r="D31" s="8">
        <v>8513</v>
      </c>
      <c r="E31" s="8" t="s">
        <v>46</v>
      </c>
      <c r="F31" s="9">
        <v>810001218</v>
      </c>
      <c r="G31" s="10" t="s">
        <v>52</v>
      </c>
      <c r="H31" s="3">
        <v>131</v>
      </c>
      <c r="I31" s="4">
        <v>6550</v>
      </c>
      <c r="J31" s="5">
        <v>3730</v>
      </c>
      <c r="K31" s="6">
        <v>18</v>
      </c>
      <c r="L31" s="6">
        <f t="shared" si="0"/>
        <v>4401.3999999999996</v>
      </c>
      <c r="M31" s="13">
        <f>L31/50</f>
        <v>88.027999999999992</v>
      </c>
      <c r="N31" s="14"/>
    </row>
    <row r="32" spans="1:14" ht="15.75" customHeight="1" x14ac:dyDescent="0.35">
      <c r="A32" s="11">
        <v>27</v>
      </c>
      <c r="B32" s="8" t="s">
        <v>44</v>
      </c>
      <c r="C32" s="8" t="s">
        <v>45</v>
      </c>
      <c r="D32" s="8">
        <v>8514</v>
      </c>
      <c r="E32" s="8" t="s">
        <v>53</v>
      </c>
      <c r="F32" s="9">
        <v>810001220</v>
      </c>
      <c r="G32" s="10" t="s">
        <v>54</v>
      </c>
      <c r="H32" s="3">
        <v>9998.9760000000006</v>
      </c>
      <c r="I32" s="4">
        <v>208.31200000000001</v>
      </c>
      <c r="J32" s="5">
        <v>108</v>
      </c>
      <c r="K32" s="6">
        <v>18</v>
      </c>
      <c r="L32" s="6">
        <f t="shared" si="0"/>
        <v>127.44</v>
      </c>
      <c r="M32" s="13">
        <f>L32*48</f>
        <v>6117.12</v>
      </c>
      <c r="N32" s="14"/>
    </row>
    <row r="33" spans="1:14" ht="15.75" customHeight="1" x14ac:dyDescent="0.35">
      <c r="A33" s="11">
        <v>28</v>
      </c>
      <c r="B33" s="8" t="s">
        <v>44</v>
      </c>
      <c r="C33" s="8" t="s">
        <v>45</v>
      </c>
      <c r="D33" s="8">
        <v>8514</v>
      </c>
      <c r="E33" s="8" t="s">
        <v>53</v>
      </c>
      <c r="F33" s="9">
        <v>810001229</v>
      </c>
      <c r="G33" s="10" t="s">
        <v>55</v>
      </c>
      <c r="H33" s="3">
        <v>255</v>
      </c>
      <c r="I33" s="4">
        <v>255</v>
      </c>
      <c r="J33" s="5">
        <v>115</v>
      </c>
      <c r="K33" s="6">
        <v>18</v>
      </c>
      <c r="L33" s="6">
        <f t="shared" si="0"/>
        <v>135.69999999999999</v>
      </c>
      <c r="M33" s="13">
        <f>L33*40</f>
        <v>5428</v>
      </c>
      <c r="N33" s="14"/>
    </row>
    <row r="34" spans="1:14" ht="15.75" customHeight="1" x14ac:dyDescent="0.35">
      <c r="A34" s="11">
        <v>29</v>
      </c>
      <c r="B34" s="8" t="s">
        <v>44</v>
      </c>
      <c r="C34" s="8" t="s">
        <v>45</v>
      </c>
      <c r="D34" s="8">
        <v>8514</v>
      </c>
      <c r="E34" s="8" t="s">
        <v>53</v>
      </c>
      <c r="F34" s="9">
        <v>810001221</v>
      </c>
      <c r="G34" s="10" t="s">
        <v>56</v>
      </c>
      <c r="H34" s="3">
        <v>6333</v>
      </c>
      <c r="I34" s="4">
        <v>211.1</v>
      </c>
      <c r="J34" s="5">
        <v>109</v>
      </c>
      <c r="K34" s="6">
        <v>18</v>
      </c>
      <c r="L34" s="6">
        <f t="shared" si="0"/>
        <v>128.62</v>
      </c>
      <c r="M34" s="13">
        <f>L34*30</f>
        <v>3858.6000000000004</v>
      </c>
      <c r="N34" s="14"/>
    </row>
    <row r="35" spans="1:14" ht="15.75" customHeight="1" x14ac:dyDescent="0.35">
      <c r="A35" s="11">
        <v>30</v>
      </c>
      <c r="B35" s="8" t="s">
        <v>44</v>
      </c>
      <c r="C35" s="8" t="s">
        <v>45</v>
      </c>
      <c r="D35" s="8">
        <v>8514</v>
      </c>
      <c r="E35" s="8" t="s">
        <v>53</v>
      </c>
      <c r="F35" s="9">
        <v>810001255</v>
      </c>
      <c r="G35" s="10" t="s">
        <v>57</v>
      </c>
      <c r="H35" s="3">
        <v>4776.96</v>
      </c>
      <c r="I35" s="4">
        <v>199.04</v>
      </c>
      <c r="J35" s="5">
        <v>101</v>
      </c>
      <c r="K35" s="6">
        <v>18</v>
      </c>
      <c r="L35" s="6">
        <f t="shared" si="0"/>
        <v>119.17999999999999</v>
      </c>
      <c r="M35" s="13">
        <f>L35*24</f>
        <v>2860.3199999999997</v>
      </c>
      <c r="N35" s="14"/>
    </row>
    <row r="36" spans="1:14" ht="15.75" customHeight="1" x14ac:dyDescent="0.35">
      <c r="A36" s="11">
        <v>31</v>
      </c>
      <c r="B36" s="8" t="s">
        <v>44</v>
      </c>
      <c r="C36" s="8" t="s">
        <v>45</v>
      </c>
      <c r="D36" s="8">
        <v>8514</v>
      </c>
      <c r="E36" s="8" t="s">
        <v>53</v>
      </c>
      <c r="F36" s="9">
        <v>810001222</v>
      </c>
      <c r="G36" s="10" t="s">
        <v>58</v>
      </c>
      <c r="H36" s="3">
        <v>4222</v>
      </c>
      <c r="I36" s="4">
        <v>211.1</v>
      </c>
      <c r="J36" s="5">
        <v>109</v>
      </c>
      <c r="K36" s="6">
        <v>18</v>
      </c>
      <c r="L36" s="6">
        <f t="shared" si="0"/>
        <v>128.62</v>
      </c>
      <c r="M36" s="13">
        <f>L36*20</f>
        <v>2572.4</v>
      </c>
      <c r="N36" s="14"/>
    </row>
    <row r="37" spans="1:14" ht="15.75" customHeight="1" x14ac:dyDescent="0.35">
      <c r="A37" s="11">
        <v>32</v>
      </c>
      <c r="B37" s="8" t="s">
        <v>44</v>
      </c>
      <c r="C37" s="8" t="s">
        <v>45</v>
      </c>
      <c r="D37" s="8">
        <v>8514</v>
      </c>
      <c r="E37" s="8" t="s">
        <v>53</v>
      </c>
      <c r="F37" s="9">
        <v>810001223</v>
      </c>
      <c r="G37" s="10" t="s">
        <v>59</v>
      </c>
      <c r="H37" s="3">
        <v>255</v>
      </c>
      <c r="I37" s="4">
        <v>255</v>
      </c>
      <c r="J37" s="5">
        <v>120</v>
      </c>
      <c r="K37" s="6">
        <v>18</v>
      </c>
      <c r="L37" s="6">
        <f t="shared" si="0"/>
        <v>141.6</v>
      </c>
      <c r="M37" s="13">
        <f>L37*15</f>
        <v>2124</v>
      </c>
      <c r="N37" s="14"/>
    </row>
    <row r="38" spans="1:14" ht="15.75" customHeight="1" x14ac:dyDescent="0.35">
      <c r="A38" s="11">
        <v>33</v>
      </c>
      <c r="B38" s="8" t="s">
        <v>44</v>
      </c>
      <c r="C38" s="8" t="s">
        <v>45</v>
      </c>
      <c r="D38" s="8">
        <v>8514</v>
      </c>
      <c r="E38" s="8" t="s">
        <v>53</v>
      </c>
      <c r="F38" s="9">
        <v>810001228</v>
      </c>
      <c r="G38" s="10" t="s">
        <v>60</v>
      </c>
      <c r="H38" s="3">
        <v>255</v>
      </c>
      <c r="I38" s="4">
        <v>255</v>
      </c>
      <c r="J38" s="5">
        <v>111</v>
      </c>
      <c r="K38" s="6">
        <v>18</v>
      </c>
      <c r="L38" s="6">
        <f t="shared" si="0"/>
        <v>130.97999999999999</v>
      </c>
      <c r="M38" s="13">
        <f>L38*20</f>
        <v>2619.6</v>
      </c>
      <c r="N38" s="14"/>
    </row>
    <row r="39" spans="1:14" ht="15.75" customHeight="1" x14ac:dyDescent="0.35">
      <c r="A39" s="11">
        <v>34</v>
      </c>
      <c r="B39" s="8" t="s">
        <v>44</v>
      </c>
      <c r="C39" s="8" t="s">
        <v>45</v>
      </c>
      <c r="D39" s="8">
        <v>8514</v>
      </c>
      <c r="E39" s="8" t="s">
        <v>53</v>
      </c>
      <c r="F39" s="9">
        <v>810001224</v>
      </c>
      <c r="G39" s="10" t="s">
        <v>61</v>
      </c>
      <c r="H39" s="3">
        <v>2111</v>
      </c>
      <c r="I39" s="4">
        <v>211.1</v>
      </c>
      <c r="J39" s="5">
        <v>108</v>
      </c>
      <c r="K39" s="6">
        <v>18</v>
      </c>
      <c r="L39" s="6">
        <f t="shared" si="0"/>
        <v>127.44</v>
      </c>
      <c r="M39" s="13">
        <f>L39*10</f>
        <v>1274.4000000000001</v>
      </c>
      <c r="N39" s="14"/>
    </row>
    <row r="40" spans="1:14" ht="15.75" customHeight="1" x14ac:dyDescent="0.35">
      <c r="A40" s="11">
        <v>35</v>
      </c>
      <c r="B40" s="8" t="s">
        <v>44</v>
      </c>
      <c r="C40" s="8" t="s">
        <v>45</v>
      </c>
      <c r="D40" s="8">
        <v>8514</v>
      </c>
      <c r="E40" s="8" t="s">
        <v>53</v>
      </c>
      <c r="F40" s="9">
        <v>810001530</v>
      </c>
      <c r="G40" s="10" t="s">
        <v>62</v>
      </c>
      <c r="H40" s="3">
        <v>1688</v>
      </c>
      <c r="I40" s="4">
        <v>211</v>
      </c>
      <c r="J40" s="5">
        <v>105</v>
      </c>
      <c r="K40" s="6">
        <v>18</v>
      </c>
      <c r="L40" s="6">
        <f t="shared" si="0"/>
        <v>123.89999999999999</v>
      </c>
      <c r="M40" s="13">
        <f>L40*8</f>
        <v>991.19999999999993</v>
      </c>
      <c r="N40" s="14"/>
    </row>
    <row r="41" spans="1:14" ht="15.75" customHeight="1" x14ac:dyDescent="0.35">
      <c r="A41" s="11">
        <v>36</v>
      </c>
      <c r="B41" s="8" t="s">
        <v>44</v>
      </c>
      <c r="C41" s="8" t="s">
        <v>45</v>
      </c>
      <c r="D41" s="8">
        <v>8514</v>
      </c>
      <c r="E41" s="8" t="s">
        <v>53</v>
      </c>
      <c r="F41" s="9">
        <v>810001225</v>
      </c>
      <c r="G41" s="10" t="s">
        <v>63</v>
      </c>
      <c r="H41" s="3">
        <v>888</v>
      </c>
      <c r="I41" s="4">
        <v>222</v>
      </c>
      <c r="J41" s="5">
        <v>109</v>
      </c>
      <c r="K41" s="6">
        <v>18</v>
      </c>
      <c r="L41" s="6">
        <f t="shared" si="0"/>
        <v>128.62</v>
      </c>
      <c r="M41" s="13">
        <f>L41*4</f>
        <v>514.48</v>
      </c>
      <c r="N41" s="14"/>
    </row>
    <row r="42" spans="1:14" ht="15.75" customHeight="1" x14ac:dyDescent="0.35">
      <c r="A42" s="11">
        <v>37</v>
      </c>
      <c r="B42" s="8" t="s">
        <v>44</v>
      </c>
      <c r="C42" s="8" t="s">
        <v>45</v>
      </c>
      <c r="D42" s="8">
        <v>8514</v>
      </c>
      <c r="E42" s="8" t="s">
        <v>53</v>
      </c>
      <c r="F42" s="9">
        <v>810001340</v>
      </c>
      <c r="G42" s="10" t="s">
        <v>64</v>
      </c>
      <c r="H42" s="3">
        <v>844</v>
      </c>
      <c r="I42" s="4">
        <v>211</v>
      </c>
      <c r="J42" s="5">
        <v>105</v>
      </c>
      <c r="K42" s="6">
        <v>18</v>
      </c>
      <c r="L42" s="6">
        <f t="shared" si="0"/>
        <v>123.89999999999999</v>
      </c>
      <c r="M42" s="13">
        <f>L42*4</f>
        <v>495.59999999999997</v>
      </c>
      <c r="N42" s="14"/>
    </row>
    <row r="43" spans="1:14" ht="15.75" customHeight="1" x14ac:dyDescent="0.35">
      <c r="A43" s="11">
        <v>38</v>
      </c>
      <c r="B43" s="8" t="s">
        <v>31</v>
      </c>
      <c r="C43" s="8" t="s">
        <v>23</v>
      </c>
      <c r="D43" s="8">
        <v>8004</v>
      </c>
      <c r="E43" s="8" t="s">
        <v>65</v>
      </c>
      <c r="F43" s="9">
        <v>810000086</v>
      </c>
      <c r="G43" s="10" t="s">
        <v>66</v>
      </c>
      <c r="H43" s="3">
        <v>7250</v>
      </c>
      <c r="I43" s="4">
        <v>1450</v>
      </c>
      <c r="J43" s="5">
        <v>598</v>
      </c>
      <c r="K43" s="6">
        <v>18</v>
      </c>
      <c r="L43" s="6">
        <f t="shared" si="0"/>
        <v>705.64</v>
      </c>
      <c r="M43" s="13">
        <f>L43*5</f>
        <v>3528.2</v>
      </c>
      <c r="N43" s="14"/>
    </row>
    <row r="44" spans="1:14" ht="15.75" customHeight="1" x14ac:dyDescent="0.35">
      <c r="A44" s="11">
        <v>39</v>
      </c>
      <c r="B44" s="8" t="s">
        <v>31</v>
      </c>
      <c r="C44" s="8" t="s">
        <v>23</v>
      </c>
      <c r="D44" s="8">
        <v>8004</v>
      </c>
      <c r="E44" s="8" t="s">
        <v>65</v>
      </c>
      <c r="F44" s="9">
        <v>810000085</v>
      </c>
      <c r="G44" s="10" t="s">
        <v>67</v>
      </c>
      <c r="H44" s="3">
        <v>1500</v>
      </c>
      <c r="I44" s="4">
        <v>1500</v>
      </c>
      <c r="J44" s="5">
        <v>608</v>
      </c>
      <c r="K44" s="6">
        <v>18</v>
      </c>
      <c r="L44" s="6">
        <f t="shared" si="0"/>
        <v>717.43999999999994</v>
      </c>
      <c r="M44" s="13">
        <f>L44/1</f>
        <v>717.43999999999994</v>
      </c>
      <c r="N44" s="14"/>
    </row>
    <row r="45" spans="1:14" ht="15.75" customHeight="1" x14ac:dyDescent="0.35">
      <c r="A45" s="11">
        <v>40</v>
      </c>
      <c r="B45" s="8" t="s">
        <v>31</v>
      </c>
      <c r="C45" s="8" t="s">
        <v>23</v>
      </c>
      <c r="D45" s="8">
        <v>8004</v>
      </c>
      <c r="E45" s="8" t="s">
        <v>65</v>
      </c>
      <c r="F45" s="9">
        <v>810000087</v>
      </c>
      <c r="G45" s="10" t="s">
        <v>68</v>
      </c>
      <c r="H45" s="3">
        <v>800</v>
      </c>
      <c r="I45" s="4">
        <v>1600</v>
      </c>
      <c r="J45" s="5">
        <v>630</v>
      </c>
      <c r="K45" s="6">
        <v>18</v>
      </c>
      <c r="L45" s="6">
        <f t="shared" si="0"/>
        <v>743.4</v>
      </c>
      <c r="M45" s="13">
        <f>L45/2</f>
        <v>371.7</v>
      </c>
      <c r="N45" s="14"/>
    </row>
    <row r="46" spans="1:14" ht="15.75" customHeight="1" x14ac:dyDescent="0.35">
      <c r="A46" s="11">
        <v>41</v>
      </c>
      <c r="B46" s="8" t="s">
        <v>31</v>
      </c>
      <c r="C46" s="8" t="s">
        <v>23</v>
      </c>
      <c r="D46" s="8">
        <v>8004</v>
      </c>
      <c r="E46" s="8" t="s">
        <v>65</v>
      </c>
      <c r="F46" s="9">
        <v>810001053</v>
      </c>
      <c r="G46" s="10" t="s">
        <v>69</v>
      </c>
      <c r="H46" s="3">
        <v>450</v>
      </c>
      <c r="I46" s="4">
        <v>1800</v>
      </c>
      <c r="J46" s="5">
        <v>672</v>
      </c>
      <c r="K46" s="6">
        <v>18</v>
      </c>
      <c r="L46" s="6">
        <f t="shared" si="0"/>
        <v>792.95999999999992</v>
      </c>
      <c r="M46" s="13">
        <f>L46/4</f>
        <v>198.23999999999998</v>
      </c>
      <c r="N46" s="14"/>
    </row>
    <row r="47" spans="1:14" ht="15.75" customHeight="1" x14ac:dyDescent="0.35">
      <c r="A47" s="11">
        <v>42</v>
      </c>
      <c r="B47" s="8" t="s">
        <v>31</v>
      </c>
      <c r="C47" s="8" t="s">
        <v>23</v>
      </c>
      <c r="D47" s="8">
        <v>8004</v>
      </c>
      <c r="E47" s="8" t="s">
        <v>65</v>
      </c>
      <c r="F47" s="9">
        <v>810001078</v>
      </c>
      <c r="G47" s="10" t="s">
        <v>70</v>
      </c>
      <c r="H47" s="3">
        <v>225</v>
      </c>
      <c r="I47" s="4">
        <v>2250</v>
      </c>
      <c r="J47" s="5">
        <v>820</v>
      </c>
      <c r="K47" s="6">
        <v>18</v>
      </c>
      <c r="L47" s="6">
        <f t="shared" si="0"/>
        <v>967.59999999999991</v>
      </c>
      <c r="M47" s="13">
        <f>L47/10</f>
        <v>96.759999999999991</v>
      </c>
      <c r="N47" s="14"/>
    </row>
    <row r="48" spans="1:14" ht="15.75" customHeight="1" x14ac:dyDescent="0.35">
      <c r="A48" s="11">
        <v>43</v>
      </c>
      <c r="B48" s="8" t="s">
        <v>31</v>
      </c>
      <c r="C48" s="8" t="s">
        <v>13</v>
      </c>
      <c r="D48" s="8">
        <v>8005</v>
      </c>
      <c r="E48" s="8" t="s">
        <v>71</v>
      </c>
      <c r="F48" s="9">
        <v>810000118</v>
      </c>
      <c r="G48" s="10" t="s">
        <v>72</v>
      </c>
      <c r="H48" s="3">
        <v>1200</v>
      </c>
      <c r="I48" s="4">
        <v>1200</v>
      </c>
      <c r="J48" s="5">
        <v>571</v>
      </c>
      <c r="K48" s="6">
        <v>18</v>
      </c>
      <c r="L48" s="6">
        <f t="shared" si="0"/>
        <v>673.78</v>
      </c>
      <c r="M48" s="13">
        <f>L48/1</f>
        <v>673.78</v>
      </c>
      <c r="N48" s="14"/>
    </row>
    <row r="49" spans="1:14" ht="15.75" customHeight="1" x14ac:dyDescent="0.35">
      <c r="A49" s="11">
        <v>44</v>
      </c>
      <c r="B49" s="8" t="s">
        <v>31</v>
      </c>
      <c r="C49" s="8" t="s">
        <v>13</v>
      </c>
      <c r="D49" s="8">
        <v>8005</v>
      </c>
      <c r="E49" s="8" t="s">
        <v>71</v>
      </c>
      <c r="F49" s="9">
        <v>810000122</v>
      </c>
      <c r="G49" s="10" t="s">
        <v>73</v>
      </c>
      <c r="H49" s="3">
        <v>650</v>
      </c>
      <c r="I49" s="4">
        <v>1300</v>
      </c>
      <c r="J49" s="5">
        <v>598</v>
      </c>
      <c r="K49" s="6">
        <v>18</v>
      </c>
      <c r="L49" s="6">
        <f t="shared" si="0"/>
        <v>705.64</v>
      </c>
      <c r="M49" s="13">
        <f>L49/2</f>
        <v>352.82</v>
      </c>
      <c r="N49" s="14"/>
    </row>
    <row r="50" spans="1:14" ht="15.75" customHeight="1" x14ac:dyDescent="0.35">
      <c r="A50" s="11">
        <v>45</v>
      </c>
      <c r="B50" s="8" t="s">
        <v>31</v>
      </c>
      <c r="C50" s="8" t="s">
        <v>13</v>
      </c>
      <c r="D50" s="8">
        <v>8005</v>
      </c>
      <c r="E50" s="8" t="s">
        <v>71</v>
      </c>
      <c r="F50" s="9">
        <v>810000127</v>
      </c>
      <c r="G50" s="10" t="s">
        <v>74</v>
      </c>
      <c r="H50" s="3">
        <v>1200</v>
      </c>
      <c r="I50" s="4">
        <v>1200</v>
      </c>
      <c r="J50" s="5">
        <v>561</v>
      </c>
      <c r="K50" s="6">
        <v>18</v>
      </c>
      <c r="L50" s="6">
        <f t="shared" si="0"/>
        <v>661.98</v>
      </c>
      <c r="M50" s="13">
        <f>L50/1</f>
        <v>661.98</v>
      </c>
      <c r="N50" s="14"/>
    </row>
    <row r="51" spans="1:14" ht="15.75" customHeight="1" x14ac:dyDescent="0.35">
      <c r="A51" s="11">
        <v>46</v>
      </c>
      <c r="B51" s="8" t="s">
        <v>31</v>
      </c>
      <c r="C51" s="8" t="s">
        <v>13</v>
      </c>
      <c r="D51" s="8">
        <v>8005</v>
      </c>
      <c r="E51" s="8" t="s">
        <v>71</v>
      </c>
      <c r="F51" s="9">
        <v>810000123</v>
      </c>
      <c r="G51" s="10" t="s">
        <v>75</v>
      </c>
      <c r="H51" s="3">
        <v>650</v>
      </c>
      <c r="I51" s="4">
        <v>1300</v>
      </c>
      <c r="J51" s="5">
        <v>587</v>
      </c>
      <c r="K51" s="6">
        <v>18</v>
      </c>
      <c r="L51" s="6">
        <f t="shared" si="0"/>
        <v>692.66</v>
      </c>
      <c r="M51" s="13">
        <f>L51/2</f>
        <v>346.33</v>
      </c>
      <c r="N51" s="14"/>
    </row>
    <row r="52" spans="1:14" ht="15.75" customHeight="1" x14ac:dyDescent="0.35">
      <c r="A52" s="11">
        <v>47</v>
      </c>
      <c r="B52" s="8" t="s">
        <v>31</v>
      </c>
      <c r="C52" s="8" t="s">
        <v>13</v>
      </c>
      <c r="D52" s="8">
        <v>8005</v>
      </c>
      <c r="E52" s="8" t="s">
        <v>71</v>
      </c>
      <c r="F52" s="9">
        <v>810000120</v>
      </c>
      <c r="G52" s="10" t="s">
        <v>76</v>
      </c>
      <c r="H52" s="3">
        <v>350</v>
      </c>
      <c r="I52" s="4">
        <v>1400</v>
      </c>
      <c r="J52" s="5">
        <v>619</v>
      </c>
      <c r="K52" s="6">
        <v>18</v>
      </c>
      <c r="L52" s="6">
        <f t="shared" si="0"/>
        <v>730.42</v>
      </c>
      <c r="M52" s="13">
        <f>L52/4</f>
        <v>182.60499999999999</v>
      </c>
      <c r="N52" s="14"/>
    </row>
    <row r="53" spans="1:14" ht="15.75" customHeight="1" x14ac:dyDescent="0.35">
      <c r="A53" s="11">
        <v>48</v>
      </c>
      <c r="B53" s="8" t="s">
        <v>31</v>
      </c>
      <c r="C53" s="8" t="s">
        <v>13</v>
      </c>
      <c r="D53" s="8">
        <v>8005</v>
      </c>
      <c r="E53" s="8" t="s">
        <v>71</v>
      </c>
      <c r="F53" s="9">
        <v>810000119</v>
      </c>
      <c r="G53" s="10" t="s">
        <v>77</v>
      </c>
      <c r="H53" s="3">
        <v>150</v>
      </c>
      <c r="I53" s="4">
        <v>1500</v>
      </c>
      <c r="J53" s="5">
        <v>677</v>
      </c>
      <c r="K53" s="6">
        <v>18</v>
      </c>
      <c r="L53" s="6">
        <f t="shared" si="0"/>
        <v>798.86</v>
      </c>
      <c r="M53" s="13">
        <f>L53/10</f>
        <v>79.885999999999996</v>
      </c>
      <c r="N53" s="14"/>
    </row>
    <row r="54" spans="1:14" ht="15.75" customHeight="1" x14ac:dyDescent="0.35">
      <c r="A54" s="11">
        <v>49</v>
      </c>
      <c r="B54" s="8" t="s">
        <v>31</v>
      </c>
      <c r="C54" s="8" t="s">
        <v>13</v>
      </c>
      <c r="D54" s="8">
        <v>8005</v>
      </c>
      <c r="E54" s="8" t="s">
        <v>71</v>
      </c>
      <c r="F54" s="9">
        <v>810001079</v>
      </c>
      <c r="G54" s="10" t="s">
        <v>78</v>
      </c>
      <c r="H54" s="3">
        <v>40</v>
      </c>
      <c r="I54" s="4">
        <v>2000</v>
      </c>
      <c r="J54" s="5">
        <v>783</v>
      </c>
      <c r="K54" s="6">
        <v>18</v>
      </c>
      <c r="L54" s="6">
        <f t="shared" si="0"/>
        <v>923.93999999999994</v>
      </c>
      <c r="M54" s="13">
        <f>L54/50</f>
        <v>18.4788</v>
      </c>
      <c r="N54" s="14"/>
    </row>
    <row r="55" spans="1:14" ht="15.75" customHeight="1" x14ac:dyDescent="0.35">
      <c r="A55" s="11">
        <v>50</v>
      </c>
      <c r="B55" s="8" t="s">
        <v>12</v>
      </c>
      <c r="C55" s="8" t="s">
        <v>20</v>
      </c>
      <c r="D55" s="8">
        <v>8458</v>
      </c>
      <c r="E55" s="8" t="s">
        <v>79</v>
      </c>
      <c r="F55" s="9">
        <v>810001057</v>
      </c>
      <c r="G55" s="10" t="s">
        <v>80</v>
      </c>
      <c r="H55" s="3">
        <v>450</v>
      </c>
      <c r="I55" s="4">
        <v>450</v>
      </c>
      <c r="J55" s="5">
        <v>191</v>
      </c>
      <c r="K55" s="6">
        <v>18</v>
      </c>
      <c r="L55" s="6">
        <f t="shared" si="0"/>
        <v>225.38</v>
      </c>
      <c r="M55" s="13">
        <f>L55/1000*160</f>
        <v>36.0608</v>
      </c>
      <c r="N55" s="14" t="s">
        <v>593</v>
      </c>
    </row>
    <row r="56" spans="1:14" ht="15.75" customHeight="1" x14ac:dyDescent="0.35">
      <c r="A56" s="11">
        <v>51</v>
      </c>
      <c r="B56" s="8" t="s">
        <v>12</v>
      </c>
      <c r="C56" s="8" t="s">
        <v>20</v>
      </c>
      <c r="D56" s="8">
        <v>8621</v>
      </c>
      <c r="E56" s="8" t="s">
        <v>81</v>
      </c>
      <c r="F56" s="9">
        <v>810001573</v>
      </c>
      <c r="G56" s="10" t="s">
        <v>82</v>
      </c>
      <c r="H56" s="3">
        <v>2500</v>
      </c>
      <c r="I56" s="4">
        <v>2500</v>
      </c>
      <c r="J56" s="5">
        <v>1610</v>
      </c>
      <c r="K56" s="6">
        <v>18</v>
      </c>
      <c r="L56" s="6">
        <f t="shared" si="0"/>
        <v>1899.8</v>
      </c>
      <c r="M56" s="13">
        <f>L56/1</f>
        <v>1899.8</v>
      </c>
      <c r="N56" s="14" t="s">
        <v>593</v>
      </c>
    </row>
    <row r="57" spans="1:14" ht="15.75" customHeight="1" x14ac:dyDescent="0.35">
      <c r="A57" s="11">
        <v>52</v>
      </c>
      <c r="B57" s="8" t="s">
        <v>12</v>
      </c>
      <c r="C57" s="8" t="s">
        <v>20</v>
      </c>
      <c r="D57" s="8">
        <v>8621</v>
      </c>
      <c r="E57" s="8" t="s">
        <v>81</v>
      </c>
      <c r="F57" s="9">
        <v>810001574</v>
      </c>
      <c r="G57" s="10" t="s">
        <v>83</v>
      </c>
      <c r="H57" s="3">
        <v>1300</v>
      </c>
      <c r="I57" s="4">
        <v>2600</v>
      </c>
      <c r="J57" s="5">
        <v>1635</v>
      </c>
      <c r="K57" s="6">
        <v>18</v>
      </c>
      <c r="L57" s="6">
        <f t="shared" si="0"/>
        <v>1929.3</v>
      </c>
      <c r="M57" s="13">
        <f>L57/2</f>
        <v>964.65</v>
      </c>
      <c r="N57" s="14" t="s">
        <v>593</v>
      </c>
    </row>
    <row r="58" spans="1:14" ht="15.75" customHeight="1" x14ac:dyDescent="0.35">
      <c r="A58" s="11">
        <v>53</v>
      </c>
      <c r="B58" s="8" t="s">
        <v>12</v>
      </c>
      <c r="C58" s="8" t="s">
        <v>20</v>
      </c>
      <c r="D58" s="8">
        <v>8621</v>
      </c>
      <c r="E58" s="8" t="s">
        <v>81</v>
      </c>
      <c r="F58" s="9">
        <v>810001575</v>
      </c>
      <c r="G58" s="10" t="s">
        <v>84</v>
      </c>
      <c r="H58" s="3">
        <v>700</v>
      </c>
      <c r="I58" s="4">
        <v>2800</v>
      </c>
      <c r="J58" s="5">
        <v>1710</v>
      </c>
      <c r="K58" s="6">
        <v>18</v>
      </c>
      <c r="L58" s="6">
        <f t="shared" si="0"/>
        <v>2017.8</v>
      </c>
      <c r="M58" s="13">
        <f>L58/4</f>
        <v>504.45</v>
      </c>
      <c r="N58" s="14" t="s">
        <v>593</v>
      </c>
    </row>
    <row r="59" spans="1:14" ht="15.75" customHeight="1" x14ac:dyDescent="0.35">
      <c r="A59" s="11">
        <v>54</v>
      </c>
      <c r="B59" s="8" t="s">
        <v>12</v>
      </c>
      <c r="C59" s="8" t="s">
        <v>20</v>
      </c>
      <c r="D59" s="8">
        <v>8621</v>
      </c>
      <c r="E59" s="8" t="s">
        <v>81</v>
      </c>
      <c r="F59" s="9">
        <v>810001576</v>
      </c>
      <c r="G59" s="10" t="s">
        <v>85</v>
      </c>
      <c r="H59" s="3">
        <v>320</v>
      </c>
      <c r="I59" s="4">
        <v>3200</v>
      </c>
      <c r="J59" s="5">
        <v>1860</v>
      </c>
      <c r="K59" s="6">
        <v>18</v>
      </c>
      <c r="L59" s="6">
        <f t="shared" si="0"/>
        <v>2194.7999999999997</v>
      </c>
      <c r="M59" s="13">
        <f>L59/10</f>
        <v>219.47999999999996</v>
      </c>
      <c r="N59" s="14" t="s">
        <v>593</v>
      </c>
    </row>
    <row r="60" spans="1:14" ht="15.75" customHeight="1" x14ac:dyDescent="0.35">
      <c r="A60" s="11">
        <v>55</v>
      </c>
      <c r="B60" s="8" t="s">
        <v>31</v>
      </c>
      <c r="C60" s="8" t="s">
        <v>13</v>
      </c>
      <c r="D60" s="8">
        <v>8461</v>
      </c>
      <c r="E60" s="8" t="s">
        <v>86</v>
      </c>
      <c r="F60" s="9">
        <v>810001184</v>
      </c>
      <c r="G60" s="10" t="s">
        <v>87</v>
      </c>
      <c r="H60" s="3">
        <v>17000</v>
      </c>
      <c r="I60" s="4">
        <v>1700</v>
      </c>
      <c r="J60" s="5">
        <v>926</v>
      </c>
      <c r="K60" s="6">
        <v>18</v>
      </c>
      <c r="L60" s="6">
        <f t="shared" si="0"/>
        <v>1092.6799999999998</v>
      </c>
      <c r="M60" s="13">
        <f>L60*10</f>
        <v>10926.8</v>
      </c>
      <c r="N60" s="14"/>
    </row>
    <row r="61" spans="1:14" ht="15.75" customHeight="1" x14ac:dyDescent="0.35">
      <c r="A61" s="11">
        <v>56</v>
      </c>
      <c r="B61" s="8" t="s">
        <v>31</v>
      </c>
      <c r="C61" s="8" t="s">
        <v>13</v>
      </c>
      <c r="D61" s="8">
        <v>8461</v>
      </c>
      <c r="E61" s="8" t="s">
        <v>86</v>
      </c>
      <c r="F61" s="9">
        <v>810001185</v>
      </c>
      <c r="G61" s="10" t="s">
        <v>88</v>
      </c>
      <c r="H61" s="3">
        <v>900</v>
      </c>
      <c r="I61" s="4">
        <v>1800</v>
      </c>
      <c r="J61" s="5">
        <v>952</v>
      </c>
      <c r="K61" s="6">
        <v>18</v>
      </c>
      <c r="L61" s="6">
        <f t="shared" si="0"/>
        <v>1123.3599999999999</v>
      </c>
      <c r="M61" s="13">
        <f>L61/2</f>
        <v>561.67999999999995</v>
      </c>
      <c r="N61" s="14"/>
    </row>
    <row r="62" spans="1:14" ht="15.75" customHeight="1" x14ac:dyDescent="0.35">
      <c r="A62" s="11">
        <v>57</v>
      </c>
      <c r="B62" s="8" t="s">
        <v>31</v>
      </c>
      <c r="C62" s="8" t="s">
        <v>13</v>
      </c>
      <c r="D62" s="8">
        <v>8461</v>
      </c>
      <c r="E62" s="8" t="s">
        <v>86</v>
      </c>
      <c r="F62" s="9">
        <v>810001059</v>
      </c>
      <c r="G62" s="10" t="s">
        <v>89</v>
      </c>
      <c r="H62" s="3">
        <v>900</v>
      </c>
      <c r="I62" s="4">
        <v>1800</v>
      </c>
      <c r="J62" s="5">
        <v>968</v>
      </c>
      <c r="K62" s="6">
        <v>18</v>
      </c>
      <c r="L62" s="6">
        <f t="shared" si="0"/>
        <v>1142.24</v>
      </c>
      <c r="M62" s="13">
        <f>L62/2</f>
        <v>571.12</v>
      </c>
      <c r="N62" s="14"/>
    </row>
    <row r="63" spans="1:14" ht="15.75" customHeight="1" x14ac:dyDescent="0.35">
      <c r="A63" s="11">
        <v>58</v>
      </c>
      <c r="B63" s="8" t="s">
        <v>31</v>
      </c>
      <c r="C63" s="8" t="s">
        <v>23</v>
      </c>
      <c r="D63" s="8">
        <v>8007</v>
      </c>
      <c r="E63" s="8" t="s">
        <v>90</v>
      </c>
      <c r="F63" s="9">
        <v>810000106</v>
      </c>
      <c r="G63" s="10" t="s">
        <v>91</v>
      </c>
      <c r="H63" s="3">
        <v>1101</v>
      </c>
      <c r="I63" s="4">
        <v>1101</v>
      </c>
      <c r="J63" s="5">
        <v>492</v>
      </c>
      <c r="K63" s="6">
        <v>18</v>
      </c>
      <c r="L63" s="6">
        <f t="shared" si="0"/>
        <v>580.55999999999995</v>
      </c>
      <c r="M63" s="13">
        <f>L63/1</f>
        <v>580.55999999999995</v>
      </c>
      <c r="N63" s="14"/>
    </row>
    <row r="64" spans="1:14" ht="15.75" customHeight="1" x14ac:dyDescent="0.35">
      <c r="A64" s="11">
        <v>59</v>
      </c>
      <c r="B64" s="8" t="s">
        <v>31</v>
      </c>
      <c r="C64" s="8" t="s">
        <v>23</v>
      </c>
      <c r="D64" s="8">
        <v>8007</v>
      </c>
      <c r="E64" s="8" t="s">
        <v>90</v>
      </c>
      <c r="F64" s="9">
        <v>810000105</v>
      </c>
      <c r="G64" s="10" t="s">
        <v>92</v>
      </c>
      <c r="H64" s="3">
        <v>581</v>
      </c>
      <c r="I64" s="4">
        <v>1162</v>
      </c>
      <c r="J64" s="5">
        <v>513</v>
      </c>
      <c r="K64" s="6">
        <v>18</v>
      </c>
      <c r="L64" s="6">
        <f t="shared" si="0"/>
        <v>605.33999999999992</v>
      </c>
      <c r="M64" s="13">
        <f>L64/2</f>
        <v>302.66999999999996</v>
      </c>
      <c r="N64" s="14"/>
    </row>
    <row r="65" spans="1:14" ht="15.75" customHeight="1" x14ac:dyDescent="0.35">
      <c r="A65" s="11">
        <v>60</v>
      </c>
      <c r="B65" s="8" t="s">
        <v>31</v>
      </c>
      <c r="C65" s="8" t="s">
        <v>23</v>
      </c>
      <c r="D65" s="8">
        <v>8007</v>
      </c>
      <c r="E65" s="8" t="s">
        <v>90</v>
      </c>
      <c r="F65" s="9">
        <v>810000104</v>
      </c>
      <c r="G65" s="10" t="s">
        <v>93</v>
      </c>
      <c r="H65" s="3">
        <v>321</v>
      </c>
      <c r="I65" s="4">
        <v>1284</v>
      </c>
      <c r="J65" s="5">
        <v>550</v>
      </c>
      <c r="K65" s="6">
        <v>18</v>
      </c>
      <c r="L65" s="6">
        <f t="shared" si="0"/>
        <v>649</v>
      </c>
      <c r="M65" s="13">
        <f>L65/4</f>
        <v>162.25</v>
      </c>
      <c r="N65" s="14"/>
    </row>
    <row r="66" spans="1:14" ht="15.75" customHeight="1" x14ac:dyDescent="0.35">
      <c r="A66" s="11">
        <v>61</v>
      </c>
      <c r="B66" s="8" t="s">
        <v>19</v>
      </c>
      <c r="C66" s="8" t="s">
        <v>23</v>
      </c>
      <c r="D66" s="8">
        <v>8439</v>
      </c>
      <c r="E66" s="8" t="s">
        <v>94</v>
      </c>
      <c r="F66" s="9">
        <v>810001020</v>
      </c>
      <c r="G66" s="10" t="s">
        <v>95</v>
      </c>
      <c r="H66" s="3">
        <v>2100</v>
      </c>
      <c r="I66" s="4">
        <v>2100</v>
      </c>
      <c r="J66" s="5">
        <v>1069</v>
      </c>
      <c r="K66" s="6">
        <v>18</v>
      </c>
      <c r="L66" s="6">
        <f t="shared" si="0"/>
        <v>1261.4199999999998</v>
      </c>
      <c r="M66" s="13">
        <f>L66/1</f>
        <v>1261.4199999999998</v>
      </c>
      <c r="N66" s="14"/>
    </row>
    <row r="67" spans="1:14" ht="15.75" customHeight="1" x14ac:dyDescent="0.35">
      <c r="A67" s="11">
        <v>62</v>
      </c>
      <c r="B67" s="8" t="s">
        <v>19</v>
      </c>
      <c r="C67" s="8" t="s">
        <v>23</v>
      </c>
      <c r="D67" s="8">
        <v>8439</v>
      </c>
      <c r="E67" s="8" t="s">
        <v>94</v>
      </c>
      <c r="F67" s="9">
        <v>810001021</v>
      </c>
      <c r="G67" s="10" t="s">
        <v>96</v>
      </c>
      <c r="H67" s="3">
        <v>1100</v>
      </c>
      <c r="I67" s="4">
        <v>2200</v>
      </c>
      <c r="J67" s="5">
        <v>1085</v>
      </c>
      <c r="K67" s="6">
        <v>18</v>
      </c>
      <c r="L67" s="6">
        <f t="shared" si="0"/>
        <v>1280.3</v>
      </c>
      <c r="M67" s="13">
        <f>L67/2</f>
        <v>640.15</v>
      </c>
      <c r="N67" s="14"/>
    </row>
    <row r="68" spans="1:14" ht="15.75" customHeight="1" x14ac:dyDescent="0.35">
      <c r="A68" s="11">
        <v>63</v>
      </c>
      <c r="B68" s="8" t="s">
        <v>19</v>
      </c>
      <c r="C68" s="8" t="s">
        <v>23</v>
      </c>
      <c r="D68" s="8">
        <v>8439</v>
      </c>
      <c r="E68" s="8" t="s">
        <v>94</v>
      </c>
      <c r="F68" s="9">
        <v>810001022</v>
      </c>
      <c r="G68" s="10" t="s">
        <v>97</v>
      </c>
      <c r="H68" s="3">
        <v>575</v>
      </c>
      <c r="I68" s="4">
        <v>2300</v>
      </c>
      <c r="J68" s="5">
        <v>1111</v>
      </c>
      <c r="K68" s="6">
        <v>18</v>
      </c>
      <c r="L68" s="6">
        <f t="shared" si="0"/>
        <v>1310.98</v>
      </c>
      <c r="M68" s="13">
        <f>L68/4</f>
        <v>327.745</v>
      </c>
      <c r="N68" s="14"/>
    </row>
    <row r="69" spans="1:14" ht="15.75" customHeight="1" x14ac:dyDescent="0.35">
      <c r="A69" s="11">
        <v>64</v>
      </c>
      <c r="B69" s="8" t="s">
        <v>19</v>
      </c>
      <c r="C69" s="8" t="s">
        <v>23</v>
      </c>
      <c r="D69" s="8">
        <v>8439</v>
      </c>
      <c r="E69" s="8" t="s">
        <v>94</v>
      </c>
      <c r="F69" s="9">
        <v>810001023</v>
      </c>
      <c r="G69" s="10" t="s">
        <v>98</v>
      </c>
      <c r="H69" s="3">
        <v>245</v>
      </c>
      <c r="I69" s="4">
        <v>2450</v>
      </c>
      <c r="J69" s="5">
        <v>1148</v>
      </c>
      <c r="K69" s="6">
        <v>18</v>
      </c>
      <c r="L69" s="6">
        <f t="shared" si="0"/>
        <v>1354.6399999999999</v>
      </c>
      <c r="M69" s="13">
        <f>L69/10</f>
        <v>135.464</v>
      </c>
      <c r="N69" s="14"/>
    </row>
    <row r="70" spans="1:14" ht="15.75" customHeight="1" x14ac:dyDescent="0.35">
      <c r="A70" s="11">
        <v>65</v>
      </c>
      <c r="B70" s="8" t="s">
        <v>19</v>
      </c>
      <c r="C70" s="8" t="s">
        <v>13</v>
      </c>
      <c r="D70" s="8">
        <v>8440</v>
      </c>
      <c r="E70" s="8" t="s">
        <v>99</v>
      </c>
      <c r="F70" s="9">
        <v>810001015</v>
      </c>
      <c r="G70" s="10" t="s">
        <v>100</v>
      </c>
      <c r="H70" s="3">
        <v>4950</v>
      </c>
      <c r="I70" s="4">
        <v>4950</v>
      </c>
      <c r="J70" s="5">
        <v>1270</v>
      </c>
      <c r="K70" s="6">
        <v>18</v>
      </c>
      <c r="L70" s="6">
        <f t="shared" ref="L70:L133" si="1">J70*(100+K70)%</f>
        <v>1498.6</v>
      </c>
      <c r="M70" s="13">
        <f>L70/1</f>
        <v>1498.6</v>
      </c>
      <c r="N70" s="14"/>
    </row>
    <row r="71" spans="1:14" ht="15.75" customHeight="1" x14ac:dyDescent="0.35">
      <c r="A71" s="11">
        <v>66</v>
      </c>
      <c r="B71" s="8" t="s">
        <v>19</v>
      </c>
      <c r="C71" s="8" t="s">
        <v>13</v>
      </c>
      <c r="D71" s="8">
        <v>8440</v>
      </c>
      <c r="E71" s="8" t="s">
        <v>99</v>
      </c>
      <c r="F71" s="9">
        <v>810001016</v>
      </c>
      <c r="G71" s="10" t="s">
        <v>101</v>
      </c>
      <c r="H71" s="3">
        <v>2550</v>
      </c>
      <c r="I71" s="4">
        <v>5100</v>
      </c>
      <c r="J71" s="5">
        <v>1323</v>
      </c>
      <c r="K71" s="6">
        <v>18</v>
      </c>
      <c r="L71" s="6">
        <f t="shared" si="1"/>
        <v>1561.1399999999999</v>
      </c>
      <c r="M71" s="13">
        <f>L71/2</f>
        <v>780.56999999999994</v>
      </c>
      <c r="N71" s="14"/>
    </row>
    <row r="72" spans="1:14" ht="15.75" customHeight="1" x14ac:dyDescent="0.35">
      <c r="A72" s="11">
        <v>67</v>
      </c>
      <c r="B72" s="8" t="s">
        <v>19</v>
      </c>
      <c r="C72" s="8" t="s">
        <v>13</v>
      </c>
      <c r="D72" s="8">
        <v>8440</v>
      </c>
      <c r="E72" s="8" t="s">
        <v>99</v>
      </c>
      <c r="F72" s="9">
        <v>810001017</v>
      </c>
      <c r="G72" s="10" t="s">
        <v>102</v>
      </c>
      <c r="H72" s="3">
        <v>1080</v>
      </c>
      <c r="I72" s="4">
        <v>5400</v>
      </c>
      <c r="J72" s="5">
        <v>1376</v>
      </c>
      <c r="K72" s="6">
        <v>18</v>
      </c>
      <c r="L72" s="6">
        <f t="shared" si="1"/>
        <v>1623.6799999999998</v>
      </c>
      <c r="M72" s="13">
        <f>L72/5</f>
        <v>324.73599999999999</v>
      </c>
      <c r="N72" s="14"/>
    </row>
    <row r="73" spans="1:14" ht="15.75" customHeight="1" x14ac:dyDescent="0.35">
      <c r="A73" s="11">
        <v>68</v>
      </c>
      <c r="B73" s="8" t="s">
        <v>19</v>
      </c>
      <c r="C73" s="8" t="s">
        <v>13</v>
      </c>
      <c r="D73" s="8">
        <v>8440</v>
      </c>
      <c r="E73" s="8" t="s">
        <v>99</v>
      </c>
      <c r="F73" s="9">
        <v>810001080</v>
      </c>
      <c r="G73" s="10" t="s">
        <v>103</v>
      </c>
      <c r="H73" s="3">
        <v>600</v>
      </c>
      <c r="I73" s="4">
        <v>6000</v>
      </c>
      <c r="J73" s="5">
        <v>1481</v>
      </c>
      <c r="K73" s="6">
        <v>18</v>
      </c>
      <c r="L73" s="6">
        <f t="shared" si="1"/>
        <v>1747.58</v>
      </c>
      <c r="M73" s="13">
        <f>L73/10</f>
        <v>174.75799999999998</v>
      </c>
      <c r="N73" s="14"/>
    </row>
    <row r="74" spans="1:14" ht="15.75" customHeight="1" x14ac:dyDescent="0.35">
      <c r="A74" s="11">
        <v>69</v>
      </c>
      <c r="B74" s="8" t="s">
        <v>104</v>
      </c>
      <c r="C74" s="8" t="s">
        <v>20</v>
      </c>
      <c r="D74" s="8">
        <v>8543</v>
      </c>
      <c r="E74" s="8" t="s">
        <v>105</v>
      </c>
      <c r="F74" s="9">
        <v>810001333</v>
      </c>
      <c r="G74" s="10" t="s">
        <v>106</v>
      </c>
      <c r="H74" s="3">
        <v>806</v>
      </c>
      <c r="I74" s="4">
        <v>65000</v>
      </c>
      <c r="J74" s="5">
        <v>25397</v>
      </c>
      <c r="K74" s="6">
        <v>18</v>
      </c>
      <c r="L74" s="6">
        <f t="shared" si="1"/>
        <v>29968.46</v>
      </c>
      <c r="M74" s="13">
        <f>L74/1000*12.4</f>
        <v>371.608904</v>
      </c>
      <c r="N74" s="14"/>
    </row>
    <row r="75" spans="1:14" ht="15.75" customHeight="1" x14ac:dyDescent="0.35">
      <c r="A75" s="11">
        <v>70</v>
      </c>
      <c r="B75" s="8" t="s">
        <v>12</v>
      </c>
      <c r="C75" s="8" t="s">
        <v>13</v>
      </c>
      <c r="D75" s="8">
        <v>8495</v>
      </c>
      <c r="E75" s="8" t="s">
        <v>107</v>
      </c>
      <c r="F75" s="9">
        <v>810001249</v>
      </c>
      <c r="G75" s="10" t="s">
        <v>108</v>
      </c>
      <c r="H75" s="3">
        <v>3111</v>
      </c>
      <c r="I75" s="4">
        <v>3111</v>
      </c>
      <c r="J75" s="5">
        <v>1323</v>
      </c>
      <c r="K75" s="6">
        <v>18</v>
      </c>
      <c r="L75" s="6">
        <f t="shared" si="1"/>
        <v>1561.1399999999999</v>
      </c>
      <c r="M75" s="13">
        <f>L75/1</f>
        <v>1561.1399999999999</v>
      </c>
      <c r="N75" s="14"/>
    </row>
    <row r="76" spans="1:14" ht="15.75" customHeight="1" x14ac:dyDescent="0.35">
      <c r="A76" s="11">
        <v>71</v>
      </c>
      <c r="B76" s="8" t="s">
        <v>12</v>
      </c>
      <c r="C76" s="8" t="s">
        <v>13</v>
      </c>
      <c r="D76" s="8">
        <v>8495</v>
      </c>
      <c r="E76" s="8" t="s">
        <v>107</v>
      </c>
      <c r="F76" s="9">
        <v>810001250</v>
      </c>
      <c r="G76" s="10" t="s">
        <v>109</v>
      </c>
      <c r="H76" s="3">
        <v>1666</v>
      </c>
      <c r="I76" s="4">
        <v>3332</v>
      </c>
      <c r="J76" s="5">
        <v>1349</v>
      </c>
      <c r="K76" s="6">
        <v>18</v>
      </c>
      <c r="L76" s="6">
        <f t="shared" si="1"/>
        <v>1591.82</v>
      </c>
      <c r="M76" s="13">
        <f>L76/2</f>
        <v>795.91</v>
      </c>
      <c r="N76" s="14"/>
    </row>
    <row r="77" spans="1:14" ht="15.75" customHeight="1" x14ac:dyDescent="0.35">
      <c r="A77" s="11">
        <v>72</v>
      </c>
      <c r="B77" s="8" t="s">
        <v>12</v>
      </c>
      <c r="C77" s="8" t="s">
        <v>13</v>
      </c>
      <c r="D77" s="8">
        <v>8495</v>
      </c>
      <c r="E77" s="8" t="s">
        <v>107</v>
      </c>
      <c r="F77" s="9">
        <v>810001251</v>
      </c>
      <c r="G77" s="10" t="s">
        <v>110</v>
      </c>
      <c r="H77" s="3">
        <v>888</v>
      </c>
      <c r="I77" s="4">
        <v>3552</v>
      </c>
      <c r="J77" s="5">
        <v>1376</v>
      </c>
      <c r="K77" s="6">
        <v>18</v>
      </c>
      <c r="L77" s="6">
        <f t="shared" si="1"/>
        <v>1623.6799999999998</v>
      </c>
      <c r="M77" s="13">
        <f>L77/4</f>
        <v>405.91999999999996</v>
      </c>
      <c r="N77" s="14"/>
    </row>
    <row r="78" spans="1:14" ht="15.75" customHeight="1" x14ac:dyDescent="0.35">
      <c r="A78" s="11">
        <v>73</v>
      </c>
      <c r="B78" s="8" t="s">
        <v>12</v>
      </c>
      <c r="C78" s="8" t="s">
        <v>13</v>
      </c>
      <c r="D78" s="8">
        <v>8495</v>
      </c>
      <c r="E78" s="8" t="s">
        <v>107</v>
      </c>
      <c r="F78" s="9">
        <v>810001252</v>
      </c>
      <c r="G78" s="10" t="s">
        <v>111</v>
      </c>
      <c r="H78" s="3">
        <v>399</v>
      </c>
      <c r="I78" s="4">
        <v>3990</v>
      </c>
      <c r="J78" s="5">
        <v>1508</v>
      </c>
      <c r="K78" s="6">
        <v>18</v>
      </c>
      <c r="L78" s="6">
        <f t="shared" si="1"/>
        <v>1779.4399999999998</v>
      </c>
      <c r="M78" s="13">
        <f>L78/10</f>
        <v>177.94399999999999</v>
      </c>
      <c r="N78" s="14"/>
    </row>
    <row r="79" spans="1:14" ht="15.75" customHeight="1" x14ac:dyDescent="0.35">
      <c r="A79" s="11">
        <v>74</v>
      </c>
      <c r="B79" s="8" t="s">
        <v>31</v>
      </c>
      <c r="C79" s="8" t="s">
        <v>20</v>
      </c>
      <c r="D79" s="8">
        <v>8623</v>
      </c>
      <c r="E79" s="8" t="s">
        <v>112</v>
      </c>
      <c r="F79" s="9">
        <v>810001581</v>
      </c>
      <c r="G79" s="10" t="s">
        <v>113</v>
      </c>
      <c r="H79" s="3">
        <v>750</v>
      </c>
      <c r="I79" s="4">
        <v>1500</v>
      </c>
      <c r="J79" s="5">
        <v>714</v>
      </c>
      <c r="K79" s="6">
        <v>18</v>
      </c>
      <c r="L79" s="6">
        <f t="shared" si="1"/>
        <v>842.52</v>
      </c>
      <c r="M79" s="13">
        <f>L79/2</f>
        <v>421.26</v>
      </c>
      <c r="N79" s="14"/>
    </row>
    <row r="80" spans="1:14" ht="15.75" customHeight="1" x14ac:dyDescent="0.35">
      <c r="A80" s="11">
        <v>75</v>
      </c>
      <c r="B80" s="8" t="s">
        <v>31</v>
      </c>
      <c r="C80" s="8" t="s">
        <v>13</v>
      </c>
      <c r="D80" s="8">
        <v>8009</v>
      </c>
      <c r="E80" s="8" t="s">
        <v>114</v>
      </c>
      <c r="F80" s="9">
        <v>810000563</v>
      </c>
      <c r="G80" s="10" t="s">
        <v>115</v>
      </c>
      <c r="H80" s="3">
        <v>1550</v>
      </c>
      <c r="I80" s="4">
        <v>1550</v>
      </c>
      <c r="J80" s="5">
        <v>608</v>
      </c>
      <c r="K80" s="6">
        <v>18</v>
      </c>
      <c r="L80" s="6">
        <f t="shared" si="1"/>
        <v>717.43999999999994</v>
      </c>
      <c r="M80" s="13">
        <f>L80/1</f>
        <v>717.43999999999994</v>
      </c>
      <c r="N80" s="14"/>
    </row>
    <row r="81" spans="1:14" ht="15.75" customHeight="1" x14ac:dyDescent="0.35">
      <c r="A81" s="11">
        <v>76</v>
      </c>
      <c r="B81" s="8" t="s">
        <v>31</v>
      </c>
      <c r="C81" s="8" t="s">
        <v>13</v>
      </c>
      <c r="D81" s="8">
        <v>8009</v>
      </c>
      <c r="E81" s="8" t="s">
        <v>114</v>
      </c>
      <c r="F81" s="9">
        <v>810000566</v>
      </c>
      <c r="G81" s="10" t="s">
        <v>116</v>
      </c>
      <c r="H81" s="3">
        <v>850</v>
      </c>
      <c r="I81" s="4">
        <v>1700</v>
      </c>
      <c r="J81" s="5">
        <v>630</v>
      </c>
      <c r="K81" s="6">
        <v>18</v>
      </c>
      <c r="L81" s="6">
        <f t="shared" si="1"/>
        <v>743.4</v>
      </c>
      <c r="M81" s="13">
        <f>L81/2</f>
        <v>371.7</v>
      </c>
      <c r="N81" s="14"/>
    </row>
    <row r="82" spans="1:14" ht="15.75" customHeight="1" x14ac:dyDescent="0.35">
      <c r="A82" s="11">
        <v>77</v>
      </c>
      <c r="B82" s="8" t="s">
        <v>31</v>
      </c>
      <c r="C82" s="8" t="s">
        <v>13</v>
      </c>
      <c r="D82" s="8">
        <v>8009</v>
      </c>
      <c r="E82" s="8" t="s">
        <v>114</v>
      </c>
      <c r="F82" s="9">
        <v>810000565</v>
      </c>
      <c r="G82" s="10" t="s">
        <v>117</v>
      </c>
      <c r="H82" s="3">
        <v>450</v>
      </c>
      <c r="I82" s="4">
        <v>1800</v>
      </c>
      <c r="J82" s="5">
        <v>661</v>
      </c>
      <c r="K82" s="6">
        <v>18</v>
      </c>
      <c r="L82" s="6">
        <f t="shared" si="1"/>
        <v>779.9799999999999</v>
      </c>
      <c r="M82" s="13">
        <f>L82/4</f>
        <v>194.99499999999998</v>
      </c>
      <c r="N82" s="14"/>
    </row>
    <row r="83" spans="1:14" ht="15.75" customHeight="1" x14ac:dyDescent="0.35">
      <c r="A83" s="11">
        <v>78</v>
      </c>
      <c r="B83" s="8" t="s">
        <v>12</v>
      </c>
      <c r="C83" s="8" t="s">
        <v>13</v>
      </c>
      <c r="D83" s="8">
        <v>8603</v>
      </c>
      <c r="E83" s="8" t="s">
        <v>118</v>
      </c>
      <c r="F83" s="9">
        <v>810001518</v>
      </c>
      <c r="G83" s="10" t="s">
        <v>119</v>
      </c>
      <c r="H83" s="3">
        <v>3600</v>
      </c>
      <c r="I83" s="4">
        <v>3000</v>
      </c>
      <c r="J83" s="5">
        <v>1746</v>
      </c>
      <c r="K83" s="6">
        <v>18</v>
      </c>
      <c r="L83" s="6">
        <f t="shared" si="1"/>
        <v>2060.2799999999997</v>
      </c>
      <c r="M83" s="13">
        <f>L83/1000*1200</f>
        <v>2472.3359999999998</v>
      </c>
      <c r="N83" s="14"/>
    </row>
    <row r="84" spans="1:14" ht="15.75" customHeight="1" x14ac:dyDescent="0.35">
      <c r="A84" s="11">
        <v>79</v>
      </c>
      <c r="B84" s="8" t="s">
        <v>12</v>
      </c>
      <c r="C84" s="8" t="s">
        <v>13</v>
      </c>
      <c r="D84" s="8">
        <v>8603</v>
      </c>
      <c r="E84" s="8" t="s">
        <v>118</v>
      </c>
      <c r="F84" s="9">
        <v>810001519</v>
      </c>
      <c r="G84" s="10" t="s">
        <v>120</v>
      </c>
      <c r="H84" s="3">
        <v>1890</v>
      </c>
      <c r="I84" s="4">
        <v>3150</v>
      </c>
      <c r="J84" s="5">
        <v>1799</v>
      </c>
      <c r="K84" s="6">
        <v>18</v>
      </c>
      <c r="L84" s="6">
        <f t="shared" si="1"/>
        <v>2122.8199999999997</v>
      </c>
      <c r="M84" s="13">
        <f>L84/1000*600</f>
        <v>1273.692</v>
      </c>
      <c r="N84" s="14"/>
    </row>
    <row r="85" spans="1:14" ht="15.75" customHeight="1" x14ac:dyDescent="0.35">
      <c r="A85" s="11">
        <v>80</v>
      </c>
      <c r="B85" s="8" t="s">
        <v>12</v>
      </c>
      <c r="C85" s="8" t="s">
        <v>13</v>
      </c>
      <c r="D85" s="8">
        <v>8603</v>
      </c>
      <c r="E85" s="8" t="s">
        <v>118</v>
      </c>
      <c r="F85" s="9">
        <v>810001520</v>
      </c>
      <c r="G85" s="10" t="s">
        <v>121</v>
      </c>
      <c r="H85" s="3">
        <v>990</v>
      </c>
      <c r="I85" s="4">
        <v>3300</v>
      </c>
      <c r="J85" s="5">
        <v>1852</v>
      </c>
      <c r="K85" s="6">
        <v>18</v>
      </c>
      <c r="L85" s="6">
        <f t="shared" si="1"/>
        <v>2185.3599999999997</v>
      </c>
      <c r="M85" s="13">
        <f>L85/1000*300</f>
        <v>655.60799999999995</v>
      </c>
      <c r="N85" s="14"/>
    </row>
    <row r="86" spans="1:14" ht="15.75" customHeight="1" x14ac:dyDescent="0.35">
      <c r="A86" s="11">
        <v>81</v>
      </c>
      <c r="B86" s="8" t="s">
        <v>12</v>
      </c>
      <c r="C86" s="8" t="s">
        <v>13</v>
      </c>
      <c r="D86" s="8">
        <v>8603</v>
      </c>
      <c r="E86" s="8" t="s">
        <v>118</v>
      </c>
      <c r="F86" s="9">
        <v>810001521</v>
      </c>
      <c r="G86" s="10" t="s">
        <v>122</v>
      </c>
      <c r="H86" s="3">
        <v>540</v>
      </c>
      <c r="I86" s="4">
        <v>3600</v>
      </c>
      <c r="J86" s="5">
        <v>1958</v>
      </c>
      <c r="K86" s="6">
        <v>18</v>
      </c>
      <c r="L86" s="6">
        <f t="shared" si="1"/>
        <v>2310.44</v>
      </c>
      <c r="M86" s="13">
        <f>L86/1000*150</f>
        <v>346.56600000000003</v>
      </c>
      <c r="N86" s="14"/>
    </row>
    <row r="87" spans="1:14" ht="15.75" customHeight="1" x14ac:dyDescent="0.35">
      <c r="A87" s="11">
        <v>82</v>
      </c>
      <c r="B87" s="8" t="s">
        <v>12</v>
      </c>
      <c r="C87" s="8" t="s">
        <v>13</v>
      </c>
      <c r="D87" s="8">
        <v>8619</v>
      </c>
      <c r="E87" s="8" t="s">
        <v>123</v>
      </c>
      <c r="F87" s="9">
        <v>810001567</v>
      </c>
      <c r="G87" s="10" t="s">
        <v>124</v>
      </c>
      <c r="H87" s="3">
        <v>3980</v>
      </c>
      <c r="I87" s="4">
        <v>995</v>
      </c>
      <c r="J87" s="5">
        <v>666</v>
      </c>
      <c r="K87" s="6">
        <v>18</v>
      </c>
      <c r="L87" s="6">
        <f t="shared" si="1"/>
        <v>785.88</v>
      </c>
      <c r="M87" s="13">
        <f>L87*4</f>
        <v>3143.52</v>
      </c>
      <c r="N87" s="14" t="s">
        <v>593</v>
      </c>
    </row>
    <row r="88" spans="1:14" ht="15.75" customHeight="1" x14ac:dyDescent="0.35">
      <c r="A88" s="11">
        <v>83</v>
      </c>
      <c r="B88" s="8" t="s">
        <v>12</v>
      </c>
      <c r="C88" s="8" t="s">
        <v>13</v>
      </c>
      <c r="D88" s="8">
        <v>8619</v>
      </c>
      <c r="E88" s="8" t="s">
        <v>123</v>
      </c>
      <c r="F88" s="9">
        <v>810001568</v>
      </c>
      <c r="G88" s="10" t="s">
        <v>125</v>
      </c>
      <c r="H88" s="3">
        <v>1680</v>
      </c>
      <c r="I88" s="4">
        <v>1050</v>
      </c>
      <c r="J88" s="5">
        <v>676</v>
      </c>
      <c r="K88" s="6">
        <v>18</v>
      </c>
      <c r="L88" s="6">
        <f t="shared" si="1"/>
        <v>797.68</v>
      </c>
      <c r="M88" s="13">
        <f>L88/1000*1600</f>
        <v>1276.288</v>
      </c>
      <c r="N88" s="14" t="s">
        <v>593</v>
      </c>
    </row>
    <row r="89" spans="1:14" ht="15.75" customHeight="1" x14ac:dyDescent="0.35">
      <c r="A89" s="11">
        <v>84</v>
      </c>
      <c r="B89" s="8" t="s">
        <v>12</v>
      </c>
      <c r="C89" s="8" t="s">
        <v>13</v>
      </c>
      <c r="D89" s="8">
        <v>8619</v>
      </c>
      <c r="E89" s="8" t="s">
        <v>123</v>
      </c>
      <c r="F89" s="9">
        <v>810001569</v>
      </c>
      <c r="G89" s="10" t="s">
        <v>126</v>
      </c>
      <c r="H89" s="3">
        <v>880.00000000000011</v>
      </c>
      <c r="I89" s="4">
        <v>1100</v>
      </c>
      <c r="J89" s="5">
        <v>696</v>
      </c>
      <c r="K89" s="6">
        <v>18</v>
      </c>
      <c r="L89" s="6">
        <f t="shared" si="1"/>
        <v>821.28</v>
      </c>
      <c r="M89" s="13">
        <f>L89/1000*800</f>
        <v>657.024</v>
      </c>
      <c r="N89" s="14" t="s">
        <v>593</v>
      </c>
    </row>
    <row r="90" spans="1:14" ht="15.75" customHeight="1" x14ac:dyDescent="0.35">
      <c r="A90" s="11">
        <v>85</v>
      </c>
      <c r="B90" s="8" t="s">
        <v>12</v>
      </c>
      <c r="C90" s="8" t="s">
        <v>13</v>
      </c>
      <c r="D90" s="8">
        <v>8619</v>
      </c>
      <c r="E90" s="8" t="s">
        <v>123</v>
      </c>
      <c r="F90" s="9">
        <v>810001570</v>
      </c>
      <c r="G90" s="10" t="s">
        <v>127</v>
      </c>
      <c r="H90" s="3">
        <v>480</v>
      </c>
      <c r="I90" s="4">
        <v>1200</v>
      </c>
      <c r="J90" s="5">
        <v>726</v>
      </c>
      <c r="K90" s="6">
        <v>18</v>
      </c>
      <c r="L90" s="6">
        <f t="shared" si="1"/>
        <v>856.68</v>
      </c>
      <c r="M90" s="13">
        <f>L90/1000*400</f>
        <v>342.67200000000003</v>
      </c>
      <c r="N90" s="14" t="s">
        <v>593</v>
      </c>
    </row>
    <row r="91" spans="1:14" ht="15.75" customHeight="1" x14ac:dyDescent="0.35">
      <c r="A91" s="11">
        <v>86</v>
      </c>
      <c r="B91" s="8" t="s">
        <v>12</v>
      </c>
      <c r="C91" s="8" t="s">
        <v>23</v>
      </c>
      <c r="D91" s="8">
        <v>8526</v>
      </c>
      <c r="E91" s="8" t="s">
        <v>128</v>
      </c>
      <c r="F91" s="9">
        <v>810001269</v>
      </c>
      <c r="G91" s="10" t="s">
        <v>129</v>
      </c>
      <c r="H91" s="3">
        <v>2650</v>
      </c>
      <c r="I91" s="4">
        <v>2650</v>
      </c>
      <c r="J91" s="5">
        <v>1550</v>
      </c>
      <c r="K91" s="6">
        <v>18</v>
      </c>
      <c r="L91" s="6">
        <f t="shared" si="1"/>
        <v>1829</v>
      </c>
      <c r="M91" s="13">
        <f>L91*1</f>
        <v>1829</v>
      </c>
      <c r="N91" s="14"/>
    </row>
    <row r="92" spans="1:14" ht="15.75" customHeight="1" x14ac:dyDescent="0.35">
      <c r="A92" s="11">
        <v>87</v>
      </c>
      <c r="B92" s="8" t="s">
        <v>12</v>
      </c>
      <c r="C92" s="8" t="s">
        <v>23</v>
      </c>
      <c r="D92" s="8">
        <v>8526</v>
      </c>
      <c r="E92" s="8" t="s">
        <v>128</v>
      </c>
      <c r="F92" s="9">
        <v>810001270</v>
      </c>
      <c r="G92" s="10" t="s">
        <v>130</v>
      </c>
      <c r="H92" s="3">
        <v>1150</v>
      </c>
      <c r="I92" s="4">
        <v>2875</v>
      </c>
      <c r="J92" s="5">
        <v>1603</v>
      </c>
      <c r="K92" s="6">
        <v>18</v>
      </c>
      <c r="L92" s="6">
        <f t="shared" si="1"/>
        <v>1891.54</v>
      </c>
      <c r="M92" s="13">
        <f>L92/1000*400</f>
        <v>756.61599999999999</v>
      </c>
      <c r="N92" s="14"/>
    </row>
    <row r="93" spans="1:14" ht="15.75" customHeight="1" x14ac:dyDescent="0.35">
      <c r="A93" s="11">
        <v>88</v>
      </c>
      <c r="B93" s="8" t="s">
        <v>12</v>
      </c>
      <c r="C93" s="8" t="s">
        <v>23</v>
      </c>
      <c r="D93" s="8">
        <v>8526</v>
      </c>
      <c r="E93" s="8" t="s">
        <v>128</v>
      </c>
      <c r="F93" s="9">
        <v>810001271</v>
      </c>
      <c r="G93" s="10" t="s">
        <v>131</v>
      </c>
      <c r="H93" s="3">
        <v>650</v>
      </c>
      <c r="I93" s="4">
        <v>3250</v>
      </c>
      <c r="J93" s="5">
        <v>1709</v>
      </c>
      <c r="K93" s="6">
        <v>18</v>
      </c>
      <c r="L93" s="6">
        <f t="shared" si="1"/>
        <v>2016.62</v>
      </c>
      <c r="M93" s="13">
        <f>L93/5</f>
        <v>403.32399999999996</v>
      </c>
      <c r="N93" s="14"/>
    </row>
    <row r="94" spans="1:14" ht="15.75" customHeight="1" x14ac:dyDescent="0.35">
      <c r="A94" s="11">
        <v>89</v>
      </c>
      <c r="B94" s="8" t="s">
        <v>12</v>
      </c>
      <c r="C94" s="8" t="s">
        <v>23</v>
      </c>
      <c r="D94" s="8">
        <v>8526</v>
      </c>
      <c r="E94" s="8" t="s">
        <v>128</v>
      </c>
      <c r="F94" s="9">
        <v>810001272</v>
      </c>
      <c r="G94" s="10" t="s">
        <v>132</v>
      </c>
      <c r="H94" s="3">
        <v>375</v>
      </c>
      <c r="I94" s="4">
        <v>3750</v>
      </c>
      <c r="J94" s="5">
        <v>1868</v>
      </c>
      <c r="K94" s="6">
        <v>18</v>
      </c>
      <c r="L94" s="6">
        <f t="shared" si="1"/>
        <v>2204.2399999999998</v>
      </c>
      <c r="M94" s="13">
        <f>L94/10</f>
        <v>220.42399999999998</v>
      </c>
      <c r="N94" s="14"/>
    </row>
    <row r="95" spans="1:14" ht="15.75" customHeight="1" x14ac:dyDescent="0.35">
      <c r="A95" s="11">
        <v>90</v>
      </c>
      <c r="B95" s="8" t="s">
        <v>19</v>
      </c>
      <c r="C95" s="8" t="s">
        <v>23</v>
      </c>
      <c r="D95" s="8">
        <v>8010</v>
      </c>
      <c r="E95" s="8" t="s">
        <v>133</v>
      </c>
      <c r="F95" s="9">
        <v>810000230</v>
      </c>
      <c r="G95" s="10" t="s">
        <v>134</v>
      </c>
      <c r="H95" s="3">
        <v>16250</v>
      </c>
      <c r="I95" s="4">
        <v>3250</v>
      </c>
      <c r="J95" s="5">
        <v>1190</v>
      </c>
      <c r="K95" s="6">
        <v>18</v>
      </c>
      <c r="L95" s="6">
        <f t="shared" si="1"/>
        <v>1404.1999999999998</v>
      </c>
      <c r="M95" s="13">
        <f>L95*5</f>
        <v>7020.9999999999991</v>
      </c>
      <c r="N95" s="14"/>
    </row>
    <row r="96" spans="1:14" ht="15.75" customHeight="1" x14ac:dyDescent="0.35">
      <c r="A96" s="11">
        <v>91</v>
      </c>
      <c r="B96" s="8" t="s">
        <v>19</v>
      </c>
      <c r="C96" s="8" t="s">
        <v>23</v>
      </c>
      <c r="D96" s="8">
        <v>8010</v>
      </c>
      <c r="E96" s="8" t="s">
        <v>133</v>
      </c>
      <c r="F96" s="9">
        <v>810000226</v>
      </c>
      <c r="G96" s="10" t="s">
        <v>135</v>
      </c>
      <c r="H96" s="3">
        <v>4500</v>
      </c>
      <c r="I96" s="4">
        <v>4500</v>
      </c>
      <c r="J96" s="5">
        <v>1190</v>
      </c>
      <c r="K96" s="6">
        <v>18</v>
      </c>
      <c r="L96" s="6">
        <f t="shared" si="1"/>
        <v>1404.1999999999998</v>
      </c>
      <c r="M96" s="13">
        <f>L96/1</f>
        <v>1404.1999999999998</v>
      </c>
      <c r="N96" s="14"/>
    </row>
    <row r="97" spans="1:14" ht="15.75" customHeight="1" x14ac:dyDescent="0.35">
      <c r="A97" s="11">
        <v>92</v>
      </c>
      <c r="B97" s="8" t="s">
        <v>19</v>
      </c>
      <c r="C97" s="8" t="s">
        <v>23</v>
      </c>
      <c r="D97" s="8">
        <v>8010</v>
      </c>
      <c r="E97" s="8" t="s">
        <v>133</v>
      </c>
      <c r="F97" s="9">
        <v>810000854</v>
      </c>
      <c r="G97" s="10" t="s">
        <v>136</v>
      </c>
      <c r="H97" s="3">
        <v>2350</v>
      </c>
      <c r="I97" s="4">
        <v>4700</v>
      </c>
      <c r="J97" s="5">
        <v>1217</v>
      </c>
      <c r="K97" s="6">
        <v>18</v>
      </c>
      <c r="L97" s="6">
        <f t="shared" si="1"/>
        <v>1436.06</v>
      </c>
      <c r="M97" s="13">
        <f>L97/2</f>
        <v>718.03</v>
      </c>
      <c r="N97" s="14"/>
    </row>
    <row r="98" spans="1:14" ht="15.75" customHeight="1" x14ac:dyDescent="0.35">
      <c r="A98" s="11">
        <v>93</v>
      </c>
      <c r="B98" s="8" t="s">
        <v>19</v>
      </c>
      <c r="C98" s="8" t="s">
        <v>23</v>
      </c>
      <c r="D98" s="8">
        <v>8010</v>
      </c>
      <c r="E98" s="8" t="s">
        <v>133</v>
      </c>
      <c r="F98" s="9">
        <v>810000229</v>
      </c>
      <c r="G98" s="10" t="s">
        <v>137</v>
      </c>
      <c r="H98" s="3">
        <v>1275</v>
      </c>
      <c r="I98" s="4">
        <v>5100</v>
      </c>
      <c r="J98" s="5">
        <v>1243</v>
      </c>
      <c r="K98" s="6">
        <v>18</v>
      </c>
      <c r="L98" s="6">
        <f t="shared" si="1"/>
        <v>1466.74</v>
      </c>
      <c r="M98" s="13">
        <f>L98/4</f>
        <v>366.685</v>
      </c>
      <c r="N98" s="14"/>
    </row>
    <row r="99" spans="1:14" ht="15.75" customHeight="1" x14ac:dyDescent="0.35">
      <c r="A99" s="11">
        <v>94</v>
      </c>
      <c r="B99" s="8" t="s">
        <v>19</v>
      </c>
      <c r="C99" s="8" t="s">
        <v>23</v>
      </c>
      <c r="D99" s="8">
        <v>8010</v>
      </c>
      <c r="E99" s="8" t="s">
        <v>133</v>
      </c>
      <c r="F99" s="9">
        <v>810000227</v>
      </c>
      <c r="G99" s="10" t="s">
        <v>138</v>
      </c>
      <c r="H99" s="3">
        <v>540</v>
      </c>
      <c r="I99" s="4">
        <v>5400</v>
      </c>
      <c r="J99" s="5">
        <v>1296</v>
      </c>
      <c r="K99" s="6">
        <v>18</v>
      </c>
      <c r="L99" s="6">
        <f t="shared" si="1"/>
        <v>1529.28</v>
      </c>
      <c r="M99" s="13">
        <f>L99/10</f>
        <v>152.928</v>
      </c>
      <c r="N99" s="14"/>
    </row>
    <row r="100" spans="1:14" ht="15.75" customHeight="1" x14ac:dyDescent="0.35">
      <c r="A100" s="11">
        <v>95</v>
      </c>
      <c r="B100" s="8" t="s">
        <v>19</v>
      </c>
      <c r="C100" s="8" t="s">
        <v>23</v>
      </c>
      <c r="D100" s="8">
        <v>8010</v>
      </c>
      <c r="E100" s="8" t="s">
        <v>133</v>
      </c>
      <c r="F100" s="9">
        <v>810000232</v>
      </c>
      <c r="G100" s="10" t="s">
        <v>139</v>
      </c>
      <c r="H100" s="3">
        <v>290</v>
      </c>
      <c r="I100" s="4">
        <v>5800</v>
      </c>
      <c r="J100" s="5">
        <v>1402</v>
      </c>
      <c r="K100" s="6">
        <v>18</v>
      </c>
      <c r="L100" s="6">
        <f t="shared" si="1"/>
        <v>1654.36</v>
      </c>
      <c r="M100" s="13">
        <f>L100/20</f>
        <v>82.717999999999989</v>
      </c>
      <c r="N100" s="14"/>
    </row>
    <row r="101" spans="1:14" ht="15.75" customHeight="1" x14ac:dyDescent="0.35">
      <c r="A101" s="11">
        <v>96</v>
      </c>
      <c r="B101" s="8" t="s">
        <v>19</v>
      </c>
      <c r="C101" s="8" t="s">
        <v>23</v>
      </c>
      <c r="D101" s="8">
        <v>8010</v>
      </c>
      <c r="E101" s="8" t="s">
        <v>133</v>
      </c>
      <c r="F101" s="9">
        <v>810001118</v>
      </c>
      <c r="G101" s="10" t="s">
        <v>140</v>
      </c>
      <c r="H101" s="3">
        <v>71</v>
      </c>
      <c r="I101" s="4">
        <v>7100</v>
      </c>
      <c r="J101" s="5">
        <v>2249</v>
      </c>
      <c r="K101" s="6">
        <v>18</v>
      </c>
      <c r="L101" s="6">
        <f t="shared" si="1"/>
        <v>2653.8199999999997</v>
      </c>
      <c r="M101" s="13">
        <f>L101/100</f>
        <v>26.538199999999996</v>
      </c>
      <c r="N101" s="14"/>
    </row>
    <row r="102" spans="1:14" ht="15.75" customHeight="1" x14ac:dyDescent="0.35">
      <c r="A102" s="11">
        <v>97</v>
      </c>
      <c r="B102" s="8" t="s">
        <v>19</v>
      </c>
      <c r="C102" s="8" t="s">
        <v>45</v>
      </c>
      <c r="D102" s="8">
        <v>8013</v>
      </c>
      <c r="E102" s="8" t="s">
        <v>141</v>
      </c>
      <c r="F102" s="9">
        <v>810000766</v>
      </c>
      <c r="G102" s="10" t="s">
        <v>142</v>
      </c>
      <c r="H102" s="3">
        <v>705</v>
      </c>
      <c r="I102" s="4">
        <v>705</v>
      </c>
      <c r="J102" s="5">
        <v>254</v>
      </c>
      <c r="K102" s="6">
        <v>18</v>
      </c>
      <c r="L102" s="6">
        <f t="shared" si="1"/>
        <v>299.71999999999997</v>
      </c>
      <c r="M102" s="13">
        <f>L102/1</f>
        <v>299.71999999999997</v>
      </c>
      <c r="N102" s="14"/>
    </row>
    <row r="103" spans="1:14" ht="15.75" customHeight="1" x14ac:dyDescent="0.35">
      <c r="A103" s="11">
        <v>98</v>
      </c>
      <c r="B103" s="8" t="s">
        <v>19</v>
      </c>
      <c r="C103" s="8" t="s">
        <v>45</v>
      </c>
      <c r="D103" s="8">
        <v>8013</v>
      </c>
      <c r="E103" s="8" t="s">
        <v>141</v>
      </c>
      <c r="F103" s="9">
        <v>810000769</v>
      </c>
      <c r="G103" s="10" t="s">
        <v>143</v>
      </c>
      <c r="H103" s="3">
        <v>405</v>
      </c>
      <c r="I103" s="4">
        <v>810</v>
      </c>
      <c r="J103" s="5">
        <v>280</v>
      </c>
      <c r="K103" s="6">
        <v>18</v>
      </c>
      <c r="L103" s="6">
        <f t="shared" si="1"/>
        <v>330.4</v>
      </c>
      <c r="M103" s="13">
        <f>L103/2</f>
        <v>165.2</v>
      </c>
      <c r="N103" s="14"/>
    </row>
    <row r="104" spans="1:14" ht="15.75" customHeight="1" x14ac:dyDescent="0.35">
      <c r="A104" s="11">
        <v>99</v>
      </c>
      <c r="B104" s="8" t="s">
        <v>19</v>
      </c>
      <c r="C104" s="8" t="s">
        <v>45</v>
      </c>
      <c r="D104" s="8">
        <v>8013</v>
      </c>
      <c r="E104" s="8" t="s">
        <v>141</v>
      </c>
      <c r="F104" s="9">
        <v>810000768</v>
      </c>
      <c r="G104" s="10" t="s">
        <v>144</v>
      </c>
      <c r="H104" s="3">
        <v>225</v>
      </c>
      <c r="I104" s="4">
        <v>900</v>
      </c>
      <c r="J104" s="5">
        <v>317</v>
      </c>
      <c r="K104" s="6">
        <v>18</v>
      </c>
      <c r="L104" s="6">
        <f t="shared" si="1"/>
        <v>374.06</v>
      </c>
      <c r="M104" s="13">
        <f>L104/4</f>
        <v>93.515000000000001</v>
      </c>
      <c r="N104" s="14"/>
    </row>
    <row r="105" spans="1:14" ht="15.75" customHeight="1" x14ac:dyDescent="0.35">
      <c r="A105" s="11">
        <v>100</v>
      </c>
      <c r="B105" s="8" t="s">
        <v>19</v>
      </c>
      <c r="C105" s="8" t="s">
        <v>45</v>
      </c>
      <c r="D105" s="8">
        <v>8013</v>
      </c>
      <c r="E105" s="8" t="s">
        <v>141</v>
      </c>
      <c r="F105" s="9">
        <v>810000767</v>
      </c>
      <c r="G105" s="10" t="s">
        <v>145</v>
      </c>
      <c r="H105" s="3">
        <v>105</v>
      </c>
      <c r="I105" s="4">
        <v>1050</v>
      </c>
      <c r="J105" s="5">
        <v>360</v>
      </c>
      <c r="K105" s="6">
        <v>18</v>
      </c>
      <c r="L105" s="6">
        <f t="shared" si="1"/>
        <v>424.79999999999995</v>
      </c>
      <c r="M105" s="13">
        <f>L105/10</f>
        <v>42.48</v>
      </c>
      <c r="N105" s="14"/>
    </row>
    <row r="106" spans="1:14" ht="15.75" customHeight="1" x14ac:dyDescent="0.35">
      <c r="A106" s="11">
        <v>101</v>
      </c>
      <c r="B106" s="8" t="s">
        <v>12</v>
      </c>
      <c r="C106" s="8" t="s">
        <v>20</v>
      </c>
      <c r="D106" s="8">
        <v>8582</v>
      </c>
      <c r="E106" s="8" t="s">
        <v>146</v>
      </c>
      <c r="F106" s="9">
        <v>810001463</v>
      </c>
      <c r="G106" s="10" t="s">
        <v>147</v>
      </c>
      <c r="H106" s="3">
        <v>1350</v>
      </c>
      <c r="I106" s="4">
        <v>2700</v>
      </c>
      <c r="J106" s="5">
        <v>1640</v>
      </c>
      <c r="K106" s="6">
        <v>18</v>
      </c>
      <c r="L106" s="6">
        <f t="shared" si="1"/>
        <v>1935.1999999999998</v>
      </c>
      <c r="M106" s="13">
        <f>L106/2</f>
        <v>967.59999999999991</v>
      </c>
      <c r="N106" s="14"/>
    </row>
    <row r="107" spans="1:14" ht="15.75" customHeight="1" x14ac:dyDescent="0.35">
      <c r="A107" s="11">
        <v>102</v>
      </c>
      <c r="B107" s="8" t="s">
        <v>12</v>
      </c>
      <c r="C107" s="8" t="s">
        <v>20</v>
      </c>
      <c r="D107" s="8">
        <v>8582</v>
      </c>
      <c r="E107" s="8" t="s">
        <v>146</v>
      </c>
      <c r="F107" s="9">
        <v>810001464</v>
      </c>
      <c r="G107" s="10" t="s">
        <v>148</v>
      </c>
      <c r="H107" s="3">
        <v>750</v>
      </c>
      <c r="I107" s="4">
        <v>3000</v>
      </c>
      <c r="J107" s="5">
        <v>1746</v>
      </c>
      <c r="K107" s="6">
        <v>18</v>
      </c>
      <c r="L107" s="6">
        <f t="shared" si="1"/>
        <v>2060.2799999999997</v>
      </c>
      <c r="M107" s="13">
        <f>L107/4</f>
        <v>515.06999999999994</v>
      </c>
      <c r="N107" s="14"/>
    </row>
    <row r="108" spans="1:14" ht="15.75" customHeight="1" x14ac:dyDescent="0.35">
      <c r="A108" s="11">
        <v>103</v>
      </c>
      <c r="B108" s="8" t="s">
        <v>12</v>
      </c>
      <c r="C108" s="8" t="s">
        <v>20</v>
      </c>
      <c r="D108" s="8">
        <v>8582</v>
      </c>
      <c r="E108" s="8" t="s">
        <v>146</v>
      </c>
      <c r="F108" s="9">
        <v>810001465</v>
      </c>
      <c r="G108" s="10" t="s">
        <v>149</v>
      </c>
      <c r="H108" s="3">
        <v>350</v>
      </c>
      <c r="I108" s="4">
        <v>3500</v>
      </c>
      <c r="J108" s="5">
        <v>1958</v>
      </c>
      <c r="K108" s="6">
        <v>18</v>
      </c>
      <c r="L108" s="6">
        <f t="shared" si="1"/>
        <v>2310.44</v>
      </c>
      <c r="M108" s="13">
        <f>L108/10</f>
        <v>231.04400000000001</v>
      </c>
      <c r="N108" s="14"/>
    </row>
    <row r="109" spans="1:14" ht="15.75" customHeight="1" x14ac:dyDescent="0.35">
      <c r="A109" s="11">
        <v>104</v>
      </c>
      <c r="B109" s="8" t="s">
        <v>12</v>
      </c>
      <c r="C109" s="8" t="s">
        <v>20</v>
      </c>
      <c r="D109" s="8">
        <v>8468</v>
      </c>
      <c r="E109" s="8" t="s">
        <v>150</v>
      </c>
      <c r="F109" s="9">
        <v>810001071</v>
      </c>
      <c r="G109" s="10" t="s">
        <v>151</v>
      </c>
      <c r="H109" s="3">
        <v>2400</v>
      </c>
      <c r="I109" s="4">
        <v>2400</v>
      </c>
      <c r="J109" s="5">
        <v>1217</v>
      </c>
      <c r="K109" s="6">
        <v>18</v>
      </c>
      <c r="L109" s="6">
        <f t="shared" si="1"/>
        <v>1436.06</v>
      </c>
      <c r="M109" s="13">
        <f>L109/1</f>
        <v>1436.06</v>
      </c>
      <c r="N109" s="14"/>
    </row>
    <row r="110" spans="1:14" ht="15.75" customHeight="1" x14ac:dyDescent="0.35">
      <c r="A110" s="11">
        <v>105</v>
      </c>
      <c r="B110" s="8" t="s">
        <v>12</v>
      </c>
      <c r="C110" s="8" t="s">
        <v>20</v>
      </c>
      <c r="D110" s="8">
        <v>8468</v>
      </c>
      <c r="E110" s="8" t="s">
        <v>150</v>
      </c>
      <c r="F110" s="9">
        <v>810001072</v>
      </c>
      <c r="G110" s="10" t="s">
        <v>152</v>
      </c>
      <c r="H110" s="3">
        <v>1300</v>
      </c>
      <c r="I110" s="4">
        <v>2600</v>
      </c>
      <c r="J110" s="5">
        <v>1270</v>
      </c>
      <c r="K110" s="6">
        <v>18</v>
      </c>
      <c r="L110" s="6">
        <f t="shared" si="1"/>
        <v>1498.6</v>
      </c>
      <c r="M110" s="13">
        <f>L110/2</f>
        <v>749.3</v>
      </c>
      <c r="N110" s="14"/>
    </row>
    <row r="111" spans="1:14" ht="15.75" customHeight="1" x14ac:dyDescent="0.35">
      <c r="A111" s="11">
        <v>106</v>
      </c>
      <c r="B111" s="8" t="s">
        <v>12</v>
      </c>
      <c r="C111" s="8" t="s">
        <v>20</v>
      </c>
      <c r="D111" s="8">
        <v>8468</v>
      </c>
      <c r="E111" s="8" t="s">
        <v>150</v>
      </c>
      <c r="F111" s="9">
        <v>810001073</v>
      </c>
      <c r="G111" s="10" t="s">
        <v>153</v>
      </c>
      <c r="H111" s="3">
        <v>700</v>
      </c>
      <c r="I111" s="4">
        <v>2800</v>
      </c>
      <c r="J111" s="5">
        <v>1323</v>
      </c>
      <c r="K111" s="6">
        <v>18</v>
      </c>
      <c r="L111" s="6">
        <f t="shared" si="1"/>
        <v>1561.1399999999999</v>
      </c>
      <c r="M111" s="13">
        <f>L111/4</f>
        <v>390.28499999999997</v>
      </c>
      <c r="N111" s="14"/>
    </row>
    <row r="112" spans="1:14" ht="15.75" customHeight="1" x14ac:dyDescent="0.35">
      <c r="A112" s="11">
        <v>107</v>
      </c>
      <c r="B112" s="8" t="s">
        <v>19</v>
      </c>
      <c r="C112" s="8" t="s">
        <v>23</v>
      </c>
      <c r="D112" s="8">
        <v>8014</v>
      </c>
      <c r="E112" s="8" t="s">
        <v>154</v>
      </c>
      <c r="F112" s="9">
        <v>810000545</v>
      </c>
      <c r="G112" s="10" t="s">
        <v>155</v>
      </c>
      <c r="H112" s="3">
        <v>6250</v>
      </c>
      <c r="I112" s="4">
        <v>1250</v>
      </c>
      <c r="J112" s="5">
        <v>735</v>
      </c>
      <c r="K112" s="6">
        <v>18</v>
      </c>
      <c r="L112" s="6">
        <f t="shared" si="1"/>
        <v>867.3</v>
      </c>
      <c r="M112" s="13">
        <f>L112*5</f>
        <v>4336.5</v>
      </c>
      <c r="N112" s="14"/>
    </row>
    <row r="113" spans="1:14" ht="15.75" customHeight="1" x14ac:dyDescent="0.35">
      <c r="A113" s="11">
        <v>108</v>
      </c>
      <c r="B113" s="8" t="s">
        <v>19</v>
      </c>
      <c r="C113" s="8" t="s">
        <v>23</v>
      </c>
      <c r="D113" s="8">
        <v>8014</v>
      </c>
      <c r="E113" s="8" t="s">
        <v>154</v>
      </c>
      <c r="F113" s="9">
        <v>810000542</v>
      </c>
      <c r="G113" s="10" t="s">
        <v>156</v>
      </c>
      <c r="H113" s="3">
        <v>1300</v>
      </c>
      <c r="I113" s="4">
        <v>1300</v>
      </c>
      <c r="J113" s="5">
        <v>741</v>
      </c>
      <c r="K113" s="6">
        <v>18</v>
      </c>
      <c r="L113" s="6">
        <f t="shared" si="1"/>
        <v>874.38</v>
      </c>
      <c r="M113" s="13">
        <f>L113/1</f>
        <v>874.38</v>
      </c>
      <c r="N113" s="14"/>
    </row>
    <row r="114" spans="1:14" ht="15.75" customHeight="1" x14ac:dyDescent="0.35">
      <c r="A114" s="11">
        <v>109</v>
      </c>
      <c r="B114" s="8" t="s">
        <v>19</v>
      </c>
      <c r="C114" s="8" t="s">
        <v>23</v>
      </c>
      <c r="D114" s="8">
        <v>8014</v>
      </c>
      <c r="E114" s="8" t="s">
        <v>154</v>
      </c>
      <c r="F114" s="9">
        <v>810000546</v>
      </c>
      <c r="G114" s="10" t="s">
        <v>157</v>
      </c>
      <c r="H114" s="3">
        <v>675</v>
      </c>
      <c r="I114" s="4">
        <v>1350</v>
      </c>
      <c r="J114" s="5">
        <v>757</v>
      </c>
      <c r="K114" s="6">
        <v>18</v>
      </c>
      <c r="L114" s="6">
        <f t="shared" si="1"/>
        <v>893.26</v>
      </c>
      <c r="M114" s="13">
        <f>L114/2</f>
        <v>446.63</v>
      </c>
      <c r="N114" s="14"/>
    </row>
    <row r="115" spans="1:14" ht="15.75" customHeight="1" x14ac:dyDescent="0.35">
      <c r="A115" s="11">
        <v>110</v>
      </c>
      <c r="B115" s="8" t="s">
        <v>19</v>
      </c>
      <c r="C115" s="8" t="s">
        <v>23</v>
      </c>
      <c r="D115" s="8">
        <v>8014</v>
      </c>
      <c r="E115" s="8" t="s">
        <v>154</v>
      </c>
      <c r="F115" s="9">
        <v>810000544</v>
      </c>
      <c r="G115" s="10" t="s">
        <v>158</v>
      </c>
      <c r="H115" s="3">
        <v>350</v>
      </c>
      <c r="I115" s="4">
        <v>1400</v>
      </c>
      <c r="J115" s="5">
        <v>783</v>
      </c>
      <c r="K115" s="6">
        <v>18</v>
      </c>
      <c r="L115" s="6">
        <f t="shared" si="1"/>
        <v>923.93999999999994</v>
      </c>
      <c r="M115" s="13">
        <f>L115/4</f>
        <v>230.98499999999999</v>
      </c>
      <c r="N115" s="14"/>
    </row>
    <row r="116" spans="1:14" ht="15.75" customHeight="1" x14ac:dyDescent="0.35">
      <c r="A116" s="11">
        <v>111</v>
      </c>
      <c r="B116" s="8" t="s">
        <v>19</v>
      </c>
      <c r="C116" s="8" t="s">
        <v>23</v>
      </c>
      <c r="D116" s="8">
        <v>8014</v>
      </c>
      <c r="E116" s="8" t="s">
        <v>154</v>
      </c>
      <c r="F116" s="9">
        <v>810000543</v>
      </c>
      <c r="G116" s="10" t="s">
        <v>159</v>
      </c>
      <c r="H116" s="3">
        <v>145</v>
      </c>
      <c r="I116" s="4">
        <v>1450</v>
      </c>
      <c r="J116" s="5">
        <v>804</v>
      </c>
      <c r="K116" s="6">
        <v>18</v>
      </c>
      <c r="L116" s="6">
        <f t="shared" si="1"/>
        <v>948.71999999999991</v>
      </c>
      <c r="M116" s="13">
        <f>L116/10</f>
        <v>94.871999999999986</v>
      </c>
      <c r="N116" s="14"/>
    </row>
    <row r="117" spans="1:14" ht="15.75" customHeight="1" x14ac:dyDescent="0.35">
      <c r="A117" s="11">
        <v>112</v>
      </c>
      <c r="B117" s="8" t="s">
        <v>19</v>
      </c>
      <c r="C117" s="8" t="s">
        <v>20</v>
      </c>
      <c r="D117" s="8">
        <v>8411</v>
      </c>
      <c r="E117" s="8" t="s">
        <v>160</v>
      </c>
      <c r="F117" s="9">
        <v>810000909</v>
      </c>
      <c r="G117" s="10" t="s">
        <v>161</v>
      </c>
      <c r="H117" s="3">
        <v>2400</v>
      </c>
      <c r="I117" s="4">
        <v>2000</v>
      </c>
      <c r="J117" s="5">
        <v>1376</v>
      </c>
      <c r="K117" s="6">
        <v>18</v>
      </c>
      <c r="L117" s="6">
        <f t="shared" si="1"/>
        <v>1623.6799999999998</v>
      </c>
      <c r="M117" s="13">
        <f>L117/1000*1200</f>
        <v>1948.4159999999997</v>
      </c>
      <c r="N117" s="14"/>
    </row>
    <row r="118" spans="1:14" ht="15.75" customHeight="1" x14ac:dyDescent="0.35">
      <c r="A118" s="11">
        <v>113</v>
      </c>
      <c r="B118" s="8" t="s">
        <v>19</v>
      </c>
      <c r="C118" s="8" t="s">
        <v>20</v>
      </c>
      <c r="D118" s="8">
        <v>8411</v>
      </c>
      <c r="E118" s="8" t="s">
        <v>160</v>
      </c>
      <c r="F118" s="9">
        <v>810000910</v>
      </c>
      <c r="G118" s="10" t="s">
        <v>162</v>
      </c>
      <c r="H118" s="3">
        <v>848</v>
      </c>
      <c r="I118" s="4">
        <v>2120</v>
      </c>
      <c r="J118" s="5">
        <v>1455</v>
      </c>
      <c r="K118" s="6">
        <v>18</v>
      </c>
      <c r="L118" s="6">
        <f t="shared" si="1"/>
        <v>1716.8999999999999</v>
      </c>
      <c r="M118" s="13">
        <f>L118/1000*400</f>
        <v>686.76</v>
      </c>
      <c r="N118" s="14"/>
    </row>
    <row r="119" spans="1:14" ht="15.75" customHeight="1" x14ac:dyDescent="0.35">
      <c r="A119" s="11">
        <v>114</v>
      </c>
      <c r="B119" s="8" t="s">
        <v>19</v>
      </c>
      <c r="C119" s="8" t="s">
        <v>20</v>
      </c>
      <c r="D119" s="8">
        <v>8380</v>
      </c>
      <c r="E119" s="8" t="s">
        <v>163</v>
      </c>
      <c r="F119" s="9">
        <v>810000818</v>
      </c>
      <c r="G119" s="10" t="s">
        <v>164</v>
      </c>
      <c r="H119" s="3">
        <v>2900</v>
      </c>
      <c r="I119" s="4">
        <v>11600</v>
      </c>
      <c r="J119" s="5">
        <v>5767</v>
      </c>
      <c r="K119" s="6">
        <v>18</v>
      </c>
      <c r="L119" s="6">
        <f t="shared" si="1"/>
        <v>6805.0599999999995</v>
      </c>
      <c r="M119" s="13">
        <f>L119/4</f>
        <v>1701.2649999999999</v>
      </c>
      <c r="N119" s="14"/>
    </row>
    <row r="120" spans="1:14" ht="15.75" customHeight="1" x14ac:dyDescent="0.35">
      <c r="A120" s="11">
        <v>115</v>
      </c>
      <c r="B120" s="8" t="s">
        <v>19</v>
      </c>
      <c r="C120" s="8" t="s">
        <v>20</v>
      </c>
      <c r="D120" s="8">
        <v>8380</v>
      </c>
      <c r="E120" s="8" t="s">
        <v>163</v>
      </c>
      <c r="F120" s="9">
        <v>810000819</v>
      </c>
      <c r="G120" s="10" t="s">
        <v>165</v>
      </c>
      <c r="H120" s="3">
        <v>601</v>
      </c>
      <c r="I120" s="4">
        <v>12020</v>
      </c>
      <c r="J120" s="5">
        <v>5979</v>
      </c>
      <c r="K120" s="6">
        <v>18</v>
      </c>
      <c r="L120" s="6">
        <f t="shared" si="1"/>
        <v>7055.2199999999993</v>
      </c>
      <c r="M120" s="13">
        <f>L120/20</f>
        <v>352.76099999999997</v>
      </c>
      <c r="N120" s="14"/>
    </row>
    <row r="121" spans="1:14" ht="15.75" customHeight="1" x14ac:dyDescent="0.35">
      <c r="A121" s="11">
        <v>116</v>
      </c>
      <c r="B121" s="8" t="s">
        <v>12</v>
      </c>
      <c r="C121" s="8" t="s">
        <v>20</v>
      </c>
      <c r="D121" s="8">
        <v>8537</v>
      </c>
      <c r="E121" s="8" t="s">
        <v>166</v>
      </c>
      <c r="F121" s="9">
        <v>810001310</v>
      </c>
      <c r="G121" s="10" t="s">
        <v>167</v>
      </c>
      <c r="H121" s="3">
        <v>21500</v>
      </c>
      <c r="I121" s="4">
        <v>1075</v>
      </c>
      <c r="J121" s="5">
        <v>524</v>
      </c>
      <c r="K121" s="6">
        <v>18</v>
      </c>
      <c r="L121" s="6">
        <f t="shared" si="1"/>
        <v>618.31999999999994</v>
      </c>
      <c r="M121" s="13">
        <f>L121*20</f>
        <v>12366.399999999998</v>
      </c>
      <c r="N121" s="14"/>
    </row>
    <row r="122" spans="1:14" ht="15.75" customHeight="1" x14ac:dyDescent="0.35">
      <c r="A122" s="11">
        <v>117</v>
      </c>
      <c r="B122" s="8" t="s">
        <v>12</v>
      </c>
      <c r="C122" s="8" t="s">
        <v>20</v>
      </c>
      <c r="D122" s="8">
        <v>8537</v>
      </c>
      <c r="E122" s="8" t="s">
        <v>166</v>
      </c>
      <c r="F122" s="9">
        <v>810001311</v>
      </c>
      <c r="G122" s="10" t="s">
        <v>168</v>
      </c>
      <c r="H122" s="3">
        <v>5500</v>
      </c>
      <c r="I122" s="4">
        <v>1100</v>
      </c>
      <c r="J122" s="5">
        <v>534</v>
      </c>
      <c r="K122" s="6">
        <v>18</v>
      </c>
      <c r="L122" s="6">
        <f t="shared" si="1"/>
        <v>630.12</v>
      </c>
      <c r="M122" s="13">
        <f>L122*5</f>
        <v>3150.6</v>
      </c>
      <c r="N122" s="14"/>
    </row>
    <row r="123" spans="1:14" ht="15.75" customHeight="1" x14ac:dyDescent="0.35">
      <c r="A123" s="11">
        <v>118</v>
      </c>
      <c r="B123" s="8" t="s">
        <v>12</v>
      </c>
      <c r="C123" s="8" t="s">
        <v>20</v>
      </c>
      <c r="D123" s="8">
        <v>8537</v>
      </c>
      <c r="E123" s="8" t="s">
        <v>166</v>
      </c>
      <c r="F123" s="9">
        <v>810001312</v>
      </c>
      <c r="G123" s="10" t="s">
        <v>169</v>
      </c>
      <c r="H123" s="3">
        <v>1350</v>
      </c>
      <c r="I123" s="4">
        <v>1125</v>
      </c>
      <c r="J123" s="5">
        <v>556</v>
      </c>
      <c r="K123" s="6">
        <v>18</v>
      </c>
      <c r="L123" s="6">
        <f t="shared" si="1"/>
        <v>656.07999999999993</v>
      </c>
      <c r="M123" s="13">
        <f>L123/1000*1200</f>
        <v>787.29599999999982</v>
      </c>
      <c r="N123" s="14"/>
    </row>
    <row r="124" spans="1:14" ht="15.75" customHeight="1" x14ac:dyDescent="0.35">
      <c r="A124" s="11">
        <v>119</v>
      </c>
      <c r="B124" s="8" t="s">
        <v>12</v>
      </c>
      <c r="C124" s="8" t="s">
        <v>20</v>
      </c>
      <c r="D124" s="8">
        <v>8537</v>
      </c>
      <c r="E124" s="8" t="s">
        <v>166</v>
      </c>
      <c r="F124" s="9">
        <v>810001313</v>
      </c>
      <c r="G124" s="10" t="s">
        <v>170</v>
      </c>
      <c r="H124" s="3">
        <v>750</v>
      </c>
      <c r="I124" s="4">
        <v>1250</v>
      </c>
      <c r="J124" s="5">
        <v>608</v>
      </c>
      <c r="K124" s="6">
        <v>18</v>
      </c>
      <c r="L124" s="6">
        <f t="shared" si="1"/>
        <v>717.43999999999994</v>
      </c>
      <c r="M124" s="13">
        <f>L124/1000*600</f>
        <v>430.464</v>
      </c>
      <c r="N124" s="14"/>
    </row>
    <row r="125" spans="1:14" ht="15.75" customHeight="1" x14ac:dyDescent="0.35">
      <c r="A125" s="11">
        <v>120</v>
      </c>
      <c r="B125" s="8" t="s">
        <v>12</v>
      </c>
      <c r="C125" s="8" t="s">
        <v>20</v>
      </c>
      <c r="D125" s="8">
        <v>8537</v>
      </c>
      <c r="E125" s="8" t="s">
        <v>166</v>
      </c>
      <c r="F125" s="9">
        <v>810001314</v>
      </c>
      <c r="G125" s="10" t="s">
        <v>171</v>
      </c>
      <c r="H125" s="3">
        <v>405</v>
      </c>
      <c r="I125" s="4">
        <v>1350</v>
      </c>
      <c r="J125" s="5">
        <v>661</v>
      </c>
      <c r="K125" s="6">
        <v>18</v>
      </c>
      <c r="L125" s="6">
        <f t="shared" si="1"/>
        <v>779.9799999999999</v>
      </c>
      <c r="M125" s="13">
        <f>L125/1000*300</f>
        <v>233.99399999999997</v>
      </c>
      <c r="N125" s="14"/>
    </row>
    <row r="126" spans="1:14" ht="15.75" customHeight="1" x14ac:dyDescent="0.35">
      <c r="A126" s="11">
        <v>121</v>
      </c>
      <c r="B126" s="8" t="s">
        <v>12</v>
      </c>
      <c r="C126" s="8" t="s">
        <v>23</v>
      </c>
      <c r="D126" s="8">
        <v>8383</v>
      </c>
      <c r="E126" s="8" t="s">
        <v>172</v>
      </c>
      <c r="F126" s="9">
        <v>810000827</v>
      </c>
      <c r="G126" s="10" t="s">
        <v>173</v>
      </c>
      <c r="H126" s="3">
        <v>2900</v>
      </c>
      <c r="I126" s="4">
        <v>2900</v>
      </c>
      <c r="J126" s="5">
        <v>1175</v>
      </c>
      <c r="K126" s="6">
        <v>18</v>
      </c>
      <c r="L126" s="6">
        <f t="shared" si="1"/>
        <v>1386.5</v>
      </c>
      <c r="M126" s="13">
        <f>L126/1</f>
        <v>1386.5</v>
      </c>
      <c r="N126" s="14"/>
    </row>
    <row r="127" spans="1:14" ht="15.75" customHeight="1" x14ac:dyDescent="0.35">
      <c r="A127" s="11">
        <v>122</v>
      </c>
      <c r="B127" s="8" t="s">
        <v>12</v>
      </c>
      <c r="C127" s="8" t="s">
        <v>23</v>
      </c>
      <c r="D127" s="8">
        <v>8383</v>
      </c>
      <c r="E127" s="8" t="s">
        <v>172</v>
      </c>
      <c r="F127" s="9">
        <v>810000826</v>
      </c>
      <c r="G127" s="10" t="s">
        <v>174</v>
      </c>
      <c r="H127" s="3">
        <v>1500</v>
      </c>
      <c r="I127" s="4">
        <v>3000</v>
      </c>
      <c r="J127" s="5">
        <v>1201</v>
      </c>
      <c r="K127" s="6">
        <v>18</v>
      </c>
      <c r="L127" s="6">
        <f t="shared" si="1"/>
        <v>1417.1799999999998</v>
      </c>
      <c r="M127" s="13">
        <f>L127/2</f>
        <v>708.58999999999992</v>
      </c>
      <c r="N127" s="14"/>
    </row>
    <row r="128" spans="1:14" ht="15.75" customHeight="1" x14ac:dyDescent="0.35">
      <c r="A128" s="11">
        <v>123</v>
      </c>
      <c r="B128" s="8" t="s">
        <v>12</v>
      </c>
      <c r="C128" s="8" t="s">
        <v>23</v>
      </c>
      <c r="D128" s="8">
        <v>8383</v>
      </c>
      <c r="E128" s="8" t="s">
        <v>172</v>
      </c>
      <c r="F128" s="9">
        <v>810000825</v>
      </c>
      <c r="G128" s="10" t="s">
        <v>175</v>
      </c>
      <c r="H128" s="3">
        <v>800</v>
      </c>
      <c r="I128" s="4">
        <v>3200</v>
      </c>
      <c r="J128" s="5">
        <v>1249</v>
      </c>
      <c r="K128" s="6">
        <v>18</v>
      </c>
      <c r="L128" s="6">
        <f t="shared" si="1"/>
        <v>1473.82</v>
      </c>
      <c r="M128" s="13">
        <f>L128/4</f>
        <v>368.45499999999998</v>
      </c>
      <c r="N128" s="14"/>
    </row>
    <row r="129" spans="1:14" ht="15.75" customHeight="1" x14ac:dyDescent="0.35">
      <c r="A129" s="11">
        <v>124</v>
      </c>
      <c r="B129" s="8" t="s">
        <v>12</v>
      </c>
      <c r="C129" s="8" t="s">
        <v>23</v>
      </c>
      <c r="D129" s="8">
        <v>8383</v>
      </c>
      <c r="E129" s="8" t="s">
        <v>172</v>
      </c>
      <c r="F129" s="9">
        <v>810000824</v>
      </c>
      <c r="G129" s="10" t="s">
        <v>176</v>
      </c>
      <c r="H129" s="3">
        <v>420</v>
      </c>
      <c r="I129" s="4">
        <v>3500</v>
      </c>
      <c r="J129" s="5">
        <v>1344</v>
      </c>
      <c r="K129" s="6">
        <v>18</v>
      </c>
      <c r="L129" s="6">
        <f t="shared" si="1"/>
        <v>1585.9199999999998</v>
      </c>
      <c r="M129" s="13">
        <f>L129/1000*120</f>
        <v>190.31039999999996</v>
      </c>
      <c r="N129" s="14"/>
    </row>
    <row r="130" spans="1:14" ht="15.75" customHeight="1" x14ac:dyDescent="0.35">
      <c r="A130" s="11">
        <v>125</v>
      </c>
      <c r="B130" s="8" t="s">
        <v>12</v>
      </c>
      <c r="C130" s="8" t="s">
        <v>23</v>
      </c>
      <c r="D130" s="8">
        <v>8383</v>
      </c>
      <c r="E130" s="8" t="s">
        <v>172</v>
      </c>
      <c r="F130" s="9">
        <v>810001096</v>
      </c>
      <c r="G130" s="10" t="s">
        <v>177</v>
      </c>
      <c r="H130" s="3">
        <v>240</v>
      </c>
      <c r="I130" s="4">
        <v>4000</v>
      </c>
      <c r="J130" s="5">
        <v>1534</v>
      </c>
      <c r="K130" s="6">
        <v>18</v>
      </c>
      <c r="L130" s="6">
        <f t="shared" si="1"/>
        <v>1810.12</v>
      </c>
      <c r="M130" s="13">
        <f>L130/1000*60</f>
        <v>108.60719999999999</v>
      </c>
      <c r="N130" s="14"/>
    </row>
    <row r="131" spans="1:14" ht="15.75" customHeight="1" x14ac:dyDescent="0.35">
      <c r="A131" s="11">
        <v>126</v>
      </c>
      <c r="B131" s="8" t="s">
        <v>12</v>
      </c>
      <c r="C131" s="8" t="s">
        <v>23</v>
      </c>
      <c r="D131" s="8">
        <v>8528</v>
      </c>
      <c r="E131" s="8" t="s">
        <v>178</v>
      </c>
      <c r="F131" s="9">
        <v>810001341</v>
      </c>
      <c r="G131" s="10" t="s">
        <v>179</v>
      </c>
      <c r="H131" s="3">
        <v>5600</v>
      </c>
      <c r="I131" s="4">
        <v>1750</v>
      </c>
      <c r="J131" s="5">
        <v>967</v>
      </c>
      <c r="K131" s="6">
        <v>18</v>
      </c>
      <c r="L131" s="6">
        <f t="shared" si="1"/>
        <v>1141.06</v>
      </c>
      <c r="M131" s="13">
        <f>L131*3.2</f>
        <v>3651.3919999999998</v>
      </c>
      <c r="N131" s="14"/>
    </row>
    <row r="132" spans="1:14" ht="15.75" customHeight="1" x14ac:dyDescent="0.35">
      <c r="A132" s="11">
        <v>127</v>
      </c>
      <c r="B132" s="8" t="s">
        <v>12</v>
      </c>
      <c r="C132" s="8" t="s">
        <v>23</v>
      </c>
      <c r="D132" s="8">
        <v>8528</v>
      </c>
      <c r="E132" s="8" t="s">
        <v>178</v>
      </c>
      <c r="F132" s="9">
        <v>810001423</v>
      </c>
      <c r="G132" s="10" t="s">
        <v>180</v>
      </c>
      <c r="H132" s="3">
        <v>1800</v>
      </c>
      <c r="I132" s="4">
        <v>1800</v>
      </c>
      <c r="J132" s="5">
        <v>978</v>
      </c>
      <c r="K132" s="6">
        <v>18</v>
      </c>
      <c r="L132" s="6">
        <f t="shared" si="1"/>
        <v>1154.04</v>
      </c>
      <c r="M132" s="13">
        <f>L132/1</f>
        <v>1154.04</v>
      </c>
      <c r="N132" s="14"/>
    </row>
    <row r="133" spans="1:14" ht="15.75" customHeight="1" x14ac:dyDescent="0.35">
      <c r="A133" s="11">
        <v>128</v>
      </c>
      <c r="B133" s="8" t="s">
        <v>12</v>
      </c>
      <c r="C133" s="8" t="s">
        <v>23</v>
      </c>
      <c r="D133" s="8">
        <v>8528</v>
      </c>
      <c r="E133" s="8" t="s">
        <v>178</v>
      </c>
      <c r="F133" s="9">
        <v>810001277</v>
      </c>
      <c r="G133" s="10" t="s">
        <v>181</v>
      </c>
      <c r="H133" s="3">
        <v>1330</v>
      </c>
      <c r="I133" s="4">
        <v>1900</v>
      </c>
      <c r="J133" s="5">
        <v>994</v>
      </c>
      <c r="K133" s="6">
        <v>18</v>
      </c>
      <c r="L133" s="6">
        <f t="shared" si="1"/>
        <v>1172.9199999999998</v>
      </c>
      <c r="M133" s="13">
        <f>L133/1000*700</f>
        <v>821.04399999999987</v>
      </c>
      <c r="N133" s="14"/>
    </row>
    <row r="134" spans="1:14" ht="15.75" customHeight="1" x14ac:dyDescent="0.35">
      <c r="A134" s="11">
        <v>129</v>
      </c>
      <c r="B134" s="8" t="s">
        <v>12</v>
      </c>
      <c r="C134" s="8" t="s">
        <v>23</v>
      </c>
      <c r="D134" s="8">
        <v>8528</v>
      </c>
      <c r="E134" s="8" t="s">
        <v>178</v>
      </c>
      <c r="F134" s="9">
        <v>810001424</v>
      </c>
      <c r="G134" s="10" t="s">
        <v>182</v>
      </c>
      <c r="H134" s="3">
        <v>950</v>
      </c>
      <c r="I134" s="4">
        <v>1900</v>
      </c>
      <c r="J134" s="5">
        <v>1020</v>
      </c>
      <c r="K134" s="6">
        <v>18</v>
      </c>
      <c r="L134" s="6">
        <f t="shared" ref="L134:L199" si="2">J134*(100+K134)%</f>
        <v>1203.5999999999999</v>
      </c>
      <c r="M134" s="13">
        <f>L134/2</f>
        <v>601.79999999999995</v>
      </c>
      <c r="N134" s="14"/>
    </row>
    <row r="135" spans="1:14" ht="15.75" customHeight="1" x14ac:dyDescent="0.35">
      <c r="A135" s="11">
        <v>130</v>
      </c>
      <c r="B135" s="8" t="s">
        <v>12</v>
      </c>
      <c r="C135" s="8" t="s">
        <v>23</v>
      </c>
      <c r="D135" s="8">
        <v>8528</v>
      </c>
      <c r="E135" s="8" t="s">
        <v>178</v>
      </c>
      <c r="F135" s="9">
        <v>810001278</v>
      </c>
      <c r="G135" s="10" t="s">
        <v>183</v>
      </c>
      <c r="H135" s="3">
        <v>700</v>
      </c>
      <c r="I135" s="4">
        <v>2000</v>
      </c>
      <c r="J135" s="5">
        <v>1047</v>
      </c>
      <c r="K135" s="6">
        <v>18</v>
      </c>
      <c r="L135" s="6">
        <f t="shared" si="2"/>
        <v>1235.46</v>
      </c>
      <c r="M135" s="13">
        <f>L135/1000*350</f>
        <v>432.411</v>
      </c>
      <c r="N135" s="14"/>
    </row>
    <row r="136" spans="1:14" ht="15.75" customHeight="1" x14ac:dyDescent="0.35">
      <c r="A136" s="11">
        <v>131</v>
      </c>
      <c r="B136" s="8" t="s">
        <v>12</v>
      </c>
      <c r="C136" s="8" t="s">
        <v>23</v>
      </c>
      <c r="D136" s="8">
        <v>8528</v>
      </c>
      <c r="E136" s="8" t="s">
        <v>178</v>
      </c>
      <c r="F136" s="9">
        <v>810001279</v>
      </c>
      <c r="G136" s="10" t="s">
        <v>184</v>
      </c>
      <c r="H136" s="3">
        <v>260</v>
      </c>
      <c r="I136" s="4">
        <v>2600</v>
      </c>
      <c r="J136" s="5">
        <v>1285</v>
      </c>
      <c r="K136" s="6">
        <v>18</v>
      </c>
      <c r="L136" s="6">
        <f t="shared" si="2"/>
        <v>1516.3</v>
      </c>
      <c r="M136" s="13">
        <f>L136/10</f>
        <v>151.63</v>
      </c>
      <c r="N136" s="14"/>
    </row>
    <row r="137" spans="1:14" ht="15.75" customHeight="1" x14ac:dyDescent="0.35">
      <c r="A137" s="11">
        <v>132</v>
      </c>
      <c r="B137" s="8" t="s">
        <v>19</v>
      </c>
      <c r="C137" s="8" t="s">
        <v>13</v>
      </c>
      <c r="D137" s="8">
        <v>8018</v>
      </c>
      <c r="E137" s="8" t="s">
        <v>185</v>
      </c>
      <c r="F137" s="9">
        <v>810000180</v>
      </c>
      <c r="G137" s="10" t="s">
        <v>186</v>
      </c>
      <c r="H137" s="3">
        <v>1560</v>
      </c>
      <c r="I137" s="4">
        <v>1300</v>
      </c>
      <c r="J137" s="5">
        <v>661</v>
      </c>
      <c r="K137" s="6">
        <v>18</v>
      </c>
      <c r="L137" s="6">
        <f t="shared" si="2"/>
        <v>779.9799999999999</v>
      </c>
      <c r="M137" s="13">
        <f>L137/1000*1200</f>
        <v>935.97599999999989</v>
      </c>
      <c r="N137" s="14"/>
    </row>
    <row r="138" spans="1:14" ht="15.75" customHeight="1" x14ac:dyDescent="0.35">
      <c r="A138" s="11">
        <v>133</v>
      </c>
      <c r="B138" s="8" t="s">
        <v>19</v>
      </c>
      <c r="C138" s="8" t="s">
        <v>13</v>
      </c>
      <c r="D138" s="8">
        <v>8018</v>
      </c>
      <c r="E138" s="8" t="s">
        <v>185</v>
      </c>
      <c r="F138" s="9">
        <v>810000184</v>
      </c>
      <c r="G138" s="10" t="s">
        <v>187</v>
      </c>
      <c r="H138" s="3">
        <v>804</v>
      </c>
      <c r="I138" s="4">
        <v>1340</v>
      </c>
      <c r="J138" s="5">
        <v>683</v>
      </c>
      <c r="K138" s="6">
        <v>18</v>
      </c>
      <c r="L138" s="6">
        <f t="shared" si="2"/>
        <v>805.93999999999994</v>
      </c>
      <c r="M138" s="13">
        <f>L138/1000*600</f>
        <v>483.56400000000002</v>
      </c>
      <c r="N138" s="14"/>
    </row>
    <row r="139" spans="1:14" ht="15.75" customHeight="1" x14ac:dyDescent="0.35">
      <c r="A139" s="11">
        <v>134</v>
      </c>
      <c r="B139" s="8" t="s">
        <v>19</v>
      </c>
      <c r="C139" s="8" t="s">
        <v>13</v>
      </c>
      <c r="D139" s="8">
        <v>8018</v>
      </c>
      <c r="E139" s="8" t="s">
        <v>185</v>
      </c>
      <c r="F139" s="9">
        <v>810000186</v>
      </c>
      <c r="G139" s="10" t="s">
        <v>188</v>
      </c>
      <c r="H139" s="3">
        <v>441</v>
      </c>
      <c r="I139" s="4">
        <v>1470</v>
      </c>
      <c r="J139" s="5">
        <v>714</v>
      </c>
      <c r="K139" s="6">
        <v>18</v>
      </c>
      <c r="L139" s="6">
        <f t="shared" si="2"/>
        <v>842.52</v>
      </c>
      <c r="M139" s="13">
        <f>L139/1000*300</f>
        <v>252.75599999999997</v>
      </c>
      <c r="N139" s="14"/>
    </row>
    <row r="140" spans="1:14" ht="15.75" customHeight="1" x14ac:dyDescent="0.35">
      <c r="A140" s="11">
        <v>135</v>
      </c>
      <c r="B140" s="8" t="s">
        <v>19</v>
      </c>
      <c r="C140" s="8" t="s">
        <v>13</v>
      </c>
      <c r="D140" s="8">
        <v>8018</v>
      </c>
      <c r="E140" s="8" t="s">
        <v>185</v>
      </c>
      <c r="F140" s="9">
        <v>810000179</v>
      </c>
      <c r="G140" s="10" t="s">
        <v>189</v>
      </c>
      <c r="H140" s="3">
        <v>161</v>
      </c>
      <c r="I140" s="4">
        <v>1610</v>
      </c>
      <c r="J140" s="5">
        <v>741</v>
      </c>
      <c r="K140" s="6">
        <v>18</v>
      </c>
      <c r="L140" s="6">
        <f t="shared" si="2"/>
        <v>874.38</v>
      </c>
      <c r="M140" s="13">
        <f>L140/10</f>
        <v>87.438000000000002</v>
      </c>
      <c r="N140" s="14"/>
    </row>
    <row r="141" spans="1:14" ht="15.75" customHeight="1" x14ac:dyDescent="0.35">
      <c r="A141" s="11">
        <v>136</v>
      </c>
      <c r="B141" s="8" t="s">
        <v>12</v>
      </c>
      <c r="C141" s="8" t="s">
        <v>190</v>
      </c>
      <c r="D141" s="8">
        <v>8544</v>
      </c>
      <c r="E141" s="8" t="s">
        <v>191</v>
      </c>
      <c r="F141" s="9">
        <v>810001591</v>
      </c>
      <c r="G141" s="10" t="s">
        <v>192</v>
      </c>
      <c r="H141" s="3">
        <v>1275</v>
      </c>
      <c r="I141" s="4">
        <v>5100</v>
      </c>
      <c r="J141" s="5">
        <v>2037</v>
      </c>
      <c r="K141" s="6">
        <v>18</v>
      </c>
      <c r="L141" s="6">
        <f t="shared" si="2"/>
        <v>2403.66</v>
      </c>
      <c r="M141" s="13">
        <f>L141/1000*250</f>
        <v>600.91499999999996</v>
      </c>
      <c r="N141" s="14"/>
    </row>
    <row r="142" spans="1:14" ht="15.75" customHeight="1" x14ac:dyDescent="0.35">
      <c r="A142" s="11">
        <v>137</v>
      </c>
      <c r="B142" s="8" t="s">
        <v>12</v>
      </c>
      <c r="C142" s="8" t="s">
        <v>190</v>
      </c>
      <c r="D142" s="8">
        <v>8544</v>
      </c>
      <c r="E142" s="8" t="s">
        <v>191</v>
      </c>
      <c r="F142" s="9">
        <v>810001331</v>
      </c>
      <c r="G142" s="10" t="s">
        <v>193</v>
      </c>
      <c r="H142" s="3">
        <v>525</v>
      </c>
      <c r="I142" s="4">
        <v>5250</v>
      </c>
      <c r="J142" s="5">
        <v>2063</v>
      </c>
      <c r="K142" s="6">
        <v>18</v>
      </c>
      <c r="L142" s="6">
        <f t="shared" si="2"/>
        <v>2434.3399999999997</v>
      </c>
      <c r="M142" s="13">
        <f>L142/10</f>
        <v>243.43399999999997</v>
      </c>
      <c r="N142" s="14"/>
    </row>
    <row r="143" spans="1:14" ht="15.75" customHeight="1" x14ac:dyDescent="0.35">
      <c r="A143" s="11">
        <v>138</v>
      </c>
      <c r="B143" s="8" t="s">
        <v>12</v>
      </c>
      <c r="C143" s="8" t="s">
        <v>190</v>
      </c>
      <c r="D143" s="8">
        <v>8544</v>
      </c>
      <c r="E143" s="8" t="s">
        <v>191</v>
      </c>
      <c r="F143" s="9">
        <v>810001332</v>
      </c>
      <c r="G143" s="10" t="s">
        <v>194</v>
      </c>
      <c r="H143" s="3">
        <v>275</v>
      </c>
      <c r="I143" s="4">
        <v>5500</v>
      </c>
      <c r="J143" s="5">
        <v>2116</v>
      </c>
      <c r="K143" s="6">
        <v>18</v>
      </c>
      <c r="L143" s="6">
        <f t="shared" si="2"/>
        <v>2496.8799999999997</v>
      </c>
      <c r="M143" s="13">
        <f>L143/20</f>
        <v>124.84399999999998</v>
      </c>
      <c r="N143" s="14"/>
    </row>
    <row r="144" spans="1:14" ht="15.75" customHeight="1" x14ac:dyDescent="0.35">
      <c r="A144" s="11">
        <v>139</v>
      </c>
      <c r="B144" s="8" t="s">
        <v>12</v>
      </c>
      <c r="C144" s="8" t="s">
        <v>23</v>
      </c>
      <c r="D144" s="8">
        <v>8530</v>
      </c>
      <c r="E144" s="8" t="s">
        <v>195</v>
      </c>
      <c r="F144" s="9">
        <v>810001285</v>
      </c>
      <c r="G144" s="10" t="s">
        <v>196</v>
      </c>
      <c r="H144" s="3">
        <v>2000</v>
      </c>
      <c r="I144" s="4">
        <v>2500</v>
      </c>
      <c r="J144" s="5">
        <v>1359</v>
      </c>
      <c r="K144" s="6">
        <v>18</v>
      </c>
      <c r="L144" s="6">
        <f t="shared" si="2"/>
        <v>1603.62</v>
      </c>
      <c r="M144" s="13">
        <f>L144/1000*800</f>
        <v>1282.896</v>
      </c>
      <c r="N144" s="14"/>
    </row>
    <row r="145" spans="1:14" ht="15.75" customHeight="1" x14ac:dyDescent="0.35">
      <c r="A145" s="11">
        <v>140</v>
      </c>
      <c r="B145" s="8" t="s">
        <v>12</v>
      </c>
      <c r="C145" s="8" t="s">
        <v>23</v>
      </c>
      <c r="D145" s="8">
        <v>8530</v>
      </c>
      <c r="E145" s="8" t="s">
        <v>195</v>
      </c>
      <c r="F145" s="9">
        <v>810001286</v>
      </c>
      <c r="G145" s="10" t="s">
        <v>197</v>
      </c>
      <c r="H145" s="3">
        <v>1100</v>
      </c>
      <c r="I145" s="4">
        <v>2750</v>
      </c>
      <c r="J145" s="5">
        <v>1412</v>
      </c>
      <c r="K145" s="6">
        <v>18</v>
      </c>
      <c r="L145" s="6">
        <f t="shared" si="2"/>
        <v>1666.1599999999999</v>
      </c>
      <c r="M145" s="13">
        <f>L145/1000*400</f>
        <v>666.46399999999994</v>
      </c>
      <c r="N145" s="14"/>
    </row>
    <row r="146" spans="1:14" ht="15.75" customHeight="1" x14ac:dyDescent="0.35">
      <c r="A146" s="11">
        <v>141</v>
      </c>
      <c r="B146" s="8" t="s">
        <v>12</v>
      </c>
      <c r="C146" s="8" t="s">
        <v>23</v>
      </c>
      <c r="D146" s="8">
        <v>8530</v>
      </c>
      <c r="E146" s="8" t="s">
        <v>195</v>
      </c>
      <c r="F146" s="9">
        <v>810001287</v>
      </c>
      <c r="G146" s="10" t="s">
        <v>198</v>
      </c>
      <c r="H146" s="3">
        <v>350</v>
      </c>
      <c r="I146" s="4">
        <v>3500</v>
      </c>
      <c r="J146" s="5">
        <v>1676</v>
      </c>
      <c r="K146" s="6">
        <v>18</v>
      </c>
      <c r="L146" s="6">
        <f t="shared" si="2"/>
        <v>1977.6799999999998</v>
      </c>
      <c r="M146" s="13">
        <f>L146/10</f>
        <v>197.76799999999997</v>
      </c>
      <c r="N146" s="14"/>
    </row>
    <row r="147" spans="1:14" ht="15.75" customHeight="1" x14ac:dyDescent="0.35">
      <c r="A147" s="11">
        <v>142</v>
      </c>
      <c r="B147" s="8" t="s">
        <v>19</v>
      </c>
      <c r="C147" s="8" t="s">
        <v>13</v>
      </c>
      <c r="D147" s="8">
        <v>8024</v>
      </c>
      <c r="E147" s="8" t="s">
        <v>199</v>
      </c>
      <c r="F147" s="9">
        <v>810000451</v>
      </c>
      <c r="G147" s="10" t="s">
        <v>200</v>
      </c>
      <c r="H147" s="3">
        <v>1010</v>
      </c>
      <c r="I147" s="4">
        <v>2020</v>
      </c>
      <c r="J147" s="5">
        <v>989</v>
      </c>
      <c r="K147" s="6">
        <v>18</v>
      </c>
      <c r="L147" s="6">
        <f t="shared" si="2"/>
        <v>1167.02</v>
      </c>
      <c r="M147" s="13">
        <f>L147/2</f>
        <v>583.51</v>
      </c>
      <c r="N147" s="14"/>
    </row>
    <row r="148" spans="1:14" ht="15.75" customHeight="1" x14ac:dyDescent="0.35">
      <c r="A148" s="11">
        <v>143</v>
      </c>
      <c r="B148" s="8" t="s">
        <v>19</v>
      </c>
      <c r="C148" s="8" t="s">
        <v>13</v>
      </c>
      <c r="D148" s="8">
        <v>8024</v>
      </c>
      <c r="E148" s="8" t="s">
        <v>199</v>
      </c>
      <c r="F148" s="9">
        <v>810000449</v>
      </c>
      <c r="G148" s="10" t="s">
        <v>201</v>
      </c>
      <c r="H148" s="3">
        <v>531</v>
      </c>
      <c r="I148" s="4">
        <v>2124</v>
      </c>
      <c r="J148" s="5">
        <v>1016</v>
      </c>
      <c r="K148" s="6">
        <v>18</v>
      </c>
      <c r="L148" s="6">
        <f t="shared" si="2"/>
        <v>1198.8799999999999</v>
      </c>
      <c r="M148" s="13">
        <f>L148/4</f>
        <v>299.71999999999997</v>
      </c>
      <c r="N148" s="14"/>
    </row>
    <row r="149" spans="1:14" ht="15.75" customHeight="1" x14ac:dyDescent="0.35">
      <c r="A149" s="11">
        <v>144</v>
      </c>
      <c r="B149" s="8" t="s">
        <v>19</v>
      </c>
      <c r="C149" s="8" t="s">
        <v>13</v>
      </c>
      <c r="D149" s="8">
        <v>8024</v>
      </c>
      <c r="E149" s="8" t="s">
        <v>199</v>
      </c>
      <c r="F149" s="9">
        <v>810000448</v>
      </c>
      <c r="G149" s="10" t="s">
        <v>202</v>
      </c>
      <c r="H149" s="3">
        <v>221</v>
      </c>
      <c r="I149" s="4">
        <v>2210</v>
      </c>
      <c r="J149" s="5">
        <v>1058</v>
      </c>
      <c r="K149" s="6">
        <v>18</v>
      </c>
      <c r="L149" s="6">
        <f t="shared" si="2"/>
        <v>1248.4399999999998</v>
      </c>
      <c r="M149" s="13">
        <f>L149/10</f>
        <v>124.84399999999998</v>
      </c>
      <c r="N149" s="14"/>
    </row>
    <row r="150" spans="1:14" ht="15.75" customHeight="1" x14ac:dyDescent="0.35">
      <c r="A150" s="11">
        <v>145</v>
      </c>
      <c r="B150" s="8" t="s">
        <v>19</v>
      </c>
      <c r="C150" s="8" t="s">
        <v>13</v>
      </c>
      <c r="D150" s="8">
        <v>8024</v>
      </c>
      <c r="E150" s="8" t="s">
        <v>199</v>
      </c>
      <c r="F150" s="9">
        <v>810001081</v>
      </c>
      <c r="G150" s="10" t="s">
        <v>203</v>
      </c>
      <c r="H150" s="3">
        <v>65</v>
      </c>
      <c r="I150" s="4">
        <v>2600</v>
      </c>
      <c r="J150" s="5">
        <v>1185</v>
      </c>
      <c r="K150" s="6">
        <v>18</v>
      </c>
      <c r="L150" s="6">
        <f t="shared" si="2"/>
        <v>1398.3</v>
      </c>
      <c r="M150" s="13">
        <f>L150/40</f>
        <v>34.957499999999996</v>
      </c>
      <c r="N150" s="14"/>
    </row>
    <row r="151" spans="1:14" ht="15.75" customHeight="1" x14ac:dyDescent="0.35">
      <c r="A151" s="11">
        <v>146</v>
      </c>
      <c r="B151" s="8" t="s">
        <v>19</v>
      </c>
      <c r="C151" s="8" t="s">
        <v>23</v>
      </c>
      <c r="D151" s="8">
        <v>8482</v>
      </c>
      <c r="E151" s="8" t="s">
        <v>204</v>
      </c>
      <c r="F151" s="9">
        <v>810001109</v>
      </c>
      <c r="G151" s="10" t="s">
        <v>205</v>
      </c>
      <c r="H151" s="3">
        <v>3000</v>
      </c>
      <c r="I151" s="4">
        <v>3000</v>
      </c>
      <c r="J151" s="5">
        <v>1481</v>
      </c>
      <c r="K151" s="6">
        <v>18</v>
      </c>
      <c r="L151" s="6">
        <f t="shared" si="2"/>
        <v>1747.58</v>
      </c>
      <c r="M151" s="13">
        <f>L151/1</f>
        <v>1747.58</v>
      </c>
      <c r="N151" s="14"/>
    </row>
    <row r="152" spans="1:14" ht="15.75" customHeight="1" x14ac:dyDescent="0.35">
      <c r="A152" s="11">
        <v>147</v>
      </c>
      <c r="B152" s="8" t="s">
        <v>19</v>
      </c>
      <c r="C152" s="8" t="s">
        <v>23</v>
      </c>
      <c r="D152" s="8">
        <v>8482</v>
      </c>
      <c r="E152" s="8" t="s">
        <v>204</v>
      </c>
      <c r="F152" s="9">
        <v>810001110</v>
      </c>
      <c r="G152" s="10" t="s">
        <v>206</v>
      </c>
      <c r="H152" s="3">
        <v>1550</v>
      </c>
      <c r="I152" s="4">
        <v>3100</v>
      </c>
      <c r="J152" s="5">
        <v>1503</v>
      </c>
      <c r="K152" s="6">
        <v>18</v>
      </c>
      <c r="L152" s="6">
        <f t="shared" si="2"/>
        <v>1773.54</v>
      </c>
      <c r="M152" s="13">
        <f>L152/2</f>
        <v>886.77</v>
      </c>
      <c r="N152" s="14"/>
    </row>
    <row r="153" spans="1:14" ht="15.75" customHeight="1" x14ac:dyDescent="0.35">
      <c r="A153" s="11">
        <v>148</v>
      </c>
      <c r="B153" s="8" t="s">
        <v>19</v>
      </c>
      <c r="C153" s="8" t="s">
        <v>23</v>
      </c>
      <c r="D153" s="8">
        <v>8482</v>
      </c>
      <c r="E153" s="8" t="s">
        <v>204</v>
      </c>
      <c r="F153" s="9">
        <v>810001111</v>
      </c>
      <c r="G153" s="10" t="s">
        <v>207</v>
      </c>
      <c r="H153" s="3">
        <v>800</v>
      </c>
      <c r="I153" s="4">
        <v>3200</v>
      </c>
      <c r="J153" s="5">
        <v>1534</v>
      </c>
      <c r="K153" s="6">
        <v>18</v>
      </c>
      <c r="L153" s="6">
        <f t="shared" si="2"/>
        <v>1810.12</v>
      </c>
      <c r="M153" s="13">
        <f>L153/4</f>
        <v>452.53</v>
      </c>
      <c r="N153" s="14"/>
    </row>
    <row r="154" spans="1:14" ht="15.75" customHeight="1" x14ac:dyDescent="0.35">
      <c r="A154" s="11">
        <v>149</v>
      </c>
      <c r="B154" s="8" t="s">
        <v>19</v>
      </c>
      <c r="C154" s="8" t="s">
        <v>23</v>
      </c>
      <c r="D154" s="8">
        <v>8482</v>
      </c>
      <c r="E154" s="8" t="s">
        <v>204</v>
      </c>
      <c r="F154" s="9">
        <v>810001112</v>
      </c>
      <c r="G154" s="10" t="s">
        <v>208</v>
      </c>
      <c r="H154" s="3">
        <v>350</v>
      </c>
      <c r="I154" s="4">
        <v>3500</v>
      </c>
      <c r="J154" s="5">
        <v>1614</v>
      </c>
      <c r="K154" s="6">
        <v>18</v>
      </c>
      <c r="L154" s="6">
        <f t="shared" si="2"/>
        <v>1904.52</v>
      </c>
      <c r="M154" s="13">
        <f>L154/10</f>
        <v>190.452</v>
      </c>
      <c r="N154" s="14"/>
    </row>
    <row r="155" spans="1:14" ht="15.75" customHeight="1" x14ac:dyDescent="0.35">
      <c r="A155" s="11">
        <v>150</v>
      </c>
      <c r="B155" s="8" t="s">
        <v>12</v>
      </c>
      <c r="C155" s="8" t="s">
        <v>20</v>
      </c>
      <c r="D155" s="8">
        <v>8499</v>
      </c>
      <c r="E155" s="8" t="s">
        <v>209</v>
      </c>
      <c r="F155" s="9">
        <v>810001158</v>
      </c>
      <c r="G155" s="10" t="s">
        <v>210</v>
      </c>
      <c r="H155" s="3">
        <v>1222</v>
      </c>
      <c r="I155" s="4">
        <v>3055</v>
      </c>
      <c r="J155" s="5">
        <v>1323</v>
      </c>
      <c r="K155" s="6">
        <v>18</v>
      </c>
      <c r="L155" s="6">
        <f t="shared" si="2"/>
        <v>1561.1399999999999</v>
      </c>
      <c r="M155" s="13">
        <f>L155/1000*400</f>
        <v>624.45600000000002</v>
      </c>
      <c r="N155" s="14"/>
    </row>
    <row r="156" spans="1:14" ht="15.75" customHeight="1" x14ac:dyDescent="0.35">
      <c r="A156" s="11">
        <v>151</v>
      </c>
      <c r="B156" s="8" t="s">
        <v>12</v>
      </c>
      <c r="C156" s="8" t="s">
        <v>20</v>
      </c>
      <c r="D156" s="8">
        <v>8499</v>
      </c>
      <c r="E156" s="8" t="s">
        <v>209</v>
      </c>
      <c r="F156" s="9">
        <v>810001159</v>
      </c>
      <c r="G156" s="10" t="s">
        <v>211</v>
      </c>
      <c r="H156" s="3">
        <v>355</v>
      </c>
      <c r="I156" s="4">
        <v>3550</v>
      </c>
      <c r="J156" s="5">
        <v>1481</v>
      </c>
      <c r="K156" s="6">
        <v>18</v>
      </c>
      <c r="L156" s="6">
        <f t="shared" si="2"/>
        <v>1747.58</v>
      </c>
      <c r="M156" s="13">
        <f>L156/1000*100</f>
        <v>174.75799999999998</v>
      </c>
      <c r="N156" s="14"/>
    </row>
    <row r="157" spans="1:14" ht="15.75" customHeight="1" x14ac:dyDescent="0.35">
      <c r="A157" s="11">
        <v>152</v>
      </c>
      <c r="B157" s="8" t="s">
        <v>19</v>
      </c>
      <c r="C157" s="8" t="s">
        <v>20</v>
      </c>
      <c r="D157" s="8">
        <v>8027</v>
      </c>
      <c r="E157" s="8" t="s">
        <v>212</v>
      </c>
      <c r="F157" s="9">
        <v>810000477</v>
      </c>
      <c r="G157" s="10" t="s">
        <v>213</v>
      </c>
      <c r="H157" s="3">
        <v>2190</v>
      </c>
      <c r="I157" s="4">
        <v>2190</v>
      </c>
      <c r="J157" s="5">
        <v>1010</v>
      </c>
      <c r="K157" s="6">
        <v>18</v>
      </c>
      <c r="L157" s="6">
        <f t="shared" si="2"/>
        <v>1191.8</v>
      </c>
      <c r="M157" s="13">
        <f>L157/1</f>
        <v>1191.8</v>
      </c>
      <c r="N157" s="14"/>
    </row>
    <row r="158" spans="1:14" ht="15.75" customHeight="1" x14ac:dyDescent="0.35">
      <c r="A158" s="11">
        <v>153</v>
      </c>
      <c r="B158" s="8" t="s">
        <v>19</v>
      </c>
      <c r="C158" s="8" t="s">
        <v>20</v>
      </c>
      <c r="D158" s="8">
        <v>8027</v>
      </c>
      <c r="E158" s="8" t="s">
        <v>212</v>
      </c>
      <c r="F158" s="9">
        <v>810000481</v>
      </c>
      <c r="G158" s="10" t="s">
        <v>214</v>
      </c>
      <c r="H158" s="3">
        <v>1125</v>
      </c>
      <c r="I158" s="4">
        <v>2250</v>
      </c>
      <c r="J158" s="5">
        <v>1036</v>
      </c>
      <c r="K158" s="6">
        <v>18</v>
      </c>
      <c r="L158" s="6">
        <f t="shared" si="2"/>
        <v>1222.48</v>
      </c>
      <c r="M158" s="13">
        <f>L158/2</f>
        <v>611.24</v>
      </c>
      <c r="N158" s="14"/>
    </row>
    <row r="159" spans="1:14" ht="15.75" customHeight="1" x14ac:dyDescent="0.35">
      <c r="A159" s="11">
        <v>154</v>
      </c>
      <c r="B159" s="8" t="s">
        <v>19</v>
      </c>
      <c r="C159" s="8" t="s">
        <v>20</v>
      </c>
      <c r="D159" s="8">
        <v>8027</v>
      </c>
      <c r="E159" s="8" t="s">
        <v>212</v>
      </c>
      <c r="F159" s="9">
        <v>810000479</v>
      </c>
      <c r="G159" s="10" t="s">
        <v>215</v>
      </c>
      <c r="H159" s="3">
        <v>585</v>
      </c>
      <c r="I159" s="4">
        <v>2340</v>
      </c>
      <c r="J159" s="5">
        <v>1077</v>
      </c>
      <c r="K159" s="6">
        <v>18</v>
      </c>
      <c r="L159" s="6">
        <f t="shared" si="2"/>
        <v>1270.8599999999999</v>
      </c>
      <c r="M159" s="13">
        <f>L159/4</f>
        <v>317.71499999999997</v>
      </c>
      <c r="N159" s="14"/>
    </row>
    <row r="160" spans="1:14" ht="15.75" customHeight="1" x14ac:dyDescent="0.35">
      <c r="A160" s="11">
        <v>155</v>
      </c>
      <c r="B160" s="8" t="s">
        <v>19</v>
      </c>
      <c r="C160" s="8" t="s">
        <v>20</v>
      </c>
      <c r="D160" s="8">
        <v>8027</v>
      </c>
      <c r="E160" s="8" t="s">
        <v>212</v>
      </c>
      <c r="F160" s="9">
        <v>810000478</v>
      </c>
      <c r="G160" s="10" t="s">
        <v>216</v>
      </c>
      <c r="H160" s="3">
        <v>255</v>
      </c>
      <c r="I160" s="4">
        <v>2550</v>
      </c>
      <c r="J160" s="5">
        <v>1118</v>
      </c>
      <c r="K160" s="6">
        <v>18</v>
      </c>
      <c r="L160" s="6">
        <f t="shared" si="2"/>
        <v>1319.24</v>
      </c>
      <c r="M160" s="13">
        <f>L160/10</f>
        <v>131.92400000000001</v>
      </c>
      <c r="N160" s="14"/>
    </row>
    <row r="161" spans="1:14" ht="15.75" customHeight="1" x14ac:dyDescent="0.35">
      <c r="A161" s="11">
        <v>156</v>
      </c>
      <c r="B161" s="8" t="s">
        <v>19</v>
      </c>
      <c r="C161" s="8" t="s">
        <v>20</v>
      </c>
      <c r="D161" s="8">
        <v>8027</v>
      </c>
      <c r="E161" s="8" t="s">
        <v>212</v>
      </c>
      <c r="F161" s="9">
        <v>810000480</v>
      </c>
      <c r="G161" s="10" t="s">
        <v>217</v>
      </c>
      <c r="H161" s="3">
        <v>155</v>
      </c>
      <c r="I161" s="4">
        <v>3100</v>
      </c>
      <c r="J161" s="5">
        <v>1303</v>
      </c>
      <c r="K161" s="6">
        <v>18</v>
      </c>
      <c r="L161" s="6">
        <f t="shared" si="2"/>
        <v>1537.54</v>
      </c>
      <c r="M161" s="13">
        <f>L161/20</f>
        <v>76.876999999999995</v>
      </c>
      <c r="N161" s="14"/>
    </row>
    <row r="162" spans="1:14" ht="15.75" customHeight="1" x14ac:dyDescent="0.35">
      <c r="A162" s="11">
        <v>157</v>
      </c>
      <c r="B162" s="8" t="s">
        <v>19</v>
      </c>
      <c r="C162" s="8" t="s">
        <v>23</v>
      </c>
      <c r="D162" s="8">
        <v>8435</v>
      </c>
      <c r="E162" s="8" t="s">
        <v>218</v>
      </c>
      <c r="F162" s="9">
        <v>810000978</v>
      </c>
      <c r="G162" s="10" t="s">
        <v>219</v>
      </c>
      <c r="H162" s="3">
        <v>8250</v>
      </c>
      <c r="I162" s="4">
        <v>8250</v>
      </c>
      <c r="J162" s="5">
        <v>1510</v>
      </c>
      <c r="K162" s="6">
        <v>18</v>
      </c>
      <c r="L162" s="6">
        <f t="shared" si="2"/>
        <v>1781.8</v>
      </c>
      <c r="M162" s="13">
        <f>L162/1</f>
        <v>1781.8</v>
      </c>
      <c r="N162" s="14"/>
    </row>
    <row r="163" spans="1:14" ht="15.75" customHeight="1" x14ac:dyDescent="0.35">
      <c r="A163" s="11">
        <v>158</v>
      </c>
      <c r="B163" s="8" t="s">
        <v>19</v>
      </c>
      <c r="C163" s="8" t="s">
        <v>23</v>
      </c>
      <c r="D163" s="8">
        <v>8435</v>
      </c>
      <c r="E163" s="8" t="s">
        <v>218</v>
      </c>
      <c r="F163" s="9">
        <v>810000979</v>
      </c>
      <c r="G163" s="10" t="s">
        <v>220</v>
      </c>
      <c r="H163" s="3">
        <v>4225</v>
      </c>
      <c r="I163" s="4">
        <v>8450</v>
      </c>
      <c r="J163" s="5">
        <v>1589</v>
      </c>
      <c r="K163" s="6">
        <v>18</v>
      </c>
      <c r="L163" s="6">
        <f t="shared" si="2"/>
        <v>1875.02</v>
      </c>
      <c r="M163" s="13">
        <f>L163/2</f>
        <v>937.51</v>
      </c>
      <c r="N163" s="14"/>
    </row>
    <row r="164" spans="1:14" ht="15.75" customHeight="1" x14ac:dyDescent="0.35">
      <c r="A164" s="11">
        <v>159</v>
      </c>
      <c r="B164" s="8" t="s">
        <v>19</v>
      </c>
      <c r="C164" s="8" t="s">
        <v>23</v>
      </c>
      <c r="D164" s="8">
        <v>8435</v>
      </c>
      <c r="E164" s="8" t="s">
        <v>218</v>
      </c>
      <c r="F164" s="9">
        <v>810000980</v>
      </c>
      <c r="G164" s="10" t="s">
        <v>221</v>
      </c>
      <c r="H164" s="3">
        <v>2150</v>
      </c>
      <c r="I164" s="4">
        <v>8600</v>
      </c>
      <c r="J164" s="5">
        <v>1672</v>
      </c>
      <c r="K164" s="6">
        <v>18</v>
      </c>
      <c r="L164" s="6">
        <f t="shared" si="2"/>
        <v>1972.9599999999998</v>
      </c>
      <c r="M164" s="13">
        <f>L164/4</f>
        <v>493.23999999999995</v>
      </c>
      <c r="N164" s="14"/>
    </row>
    <row r="165" spans="1:14" ht="15.75" customHeight="1" x14ac:dyDescent="0.35">
      <c r="A165" s="11">
        <v>160</v>
      </c>
      <c r="B165" s="8" t="s">
        <v>19</v>
      </c>
      <c r="C165" s="8" t="s">
        <v>23</v>
      </c>
      <c r="D165" s="8">
        <v>8435</v>
      </c>
      <c r="E165" s="8" t="s">
        <v>218</v>
      </c>
      <c r="F165" s="9">
        <v>810001122</v>
      </c>
      <c r="G165" s="10" t="s">
        <v>222</v>
      </c>
      <c r="H165" s="3">
        <v>1080</v>
      </c>
      <c r="I165" s="4">
        <v>9000</v>
      </c>
      <c r="J165" s="5">
        <v>1771</v>
      </c>
      <c r="K165" s="6">
        <v>18</v>
      </c>
      <c r="L165" s="6">
        <f t="shared" si="2"/>
        <v>2089.7799999999997</v>
      </c>
      <c r="M165" s="13">
        <f>L165/1000*120</f>
        <v>250.77359999999996</v>
      </c>
      <c r="N165" s="14"/>
    </row>
    <row r="166" spans="1:14" ht="15.75" customHeight="1" x14ac:dyDescent="0.35">
      <c r="A166" s="11">
        <v>161</v>
      </c>
      <c r="B166" s="8" t="s">
        <v>12</v>
      </c>
      <c r="C166" s="8" t="s">
        <v>20</v>
      </c>
      <c r="D166" s="8">
        <v>8541</v>
      </c>
      <c r="E166" s="8" t="s">
        <v>223</v>
      </c>
      <c r="F166" s="9">
        <v>810001337</v>
      </c>
      <c r="G166" s="10" t="s">
        <v>224</v>
      </c>
      <c r="H166" s="3">
        <v>5400</v>
      </c>
      <c r="I166" s="4">
        <v>900</v>
      </c>
      <c r="J166" s="5">
        <v>711</v>
      </c>
      <c r="K166" s="6">
        <v>18</v>
      </c>
      <c r="L166" s="6">
        <f t="shared" si="2"/>
        <v>838.9799999999999</v>
      </c>
      <c r="M166" s="13">
        <f>L166*6</f>
        <v>5033.8799999999992</v>
      </c>
      <c r="N166" s="14"/>
    </row>
    <row r="167" spans="1:14" ht="15.75" customHeight="1" x14ac:dyDescent="0.35">
      <c r="A167" s="11">
        <v>162</v>
      </c>
      <c r="B167" s="8" t="s">
        <v>12</v>
      </c>
      <c r="C167" s="8" t="s">
        <v>20</v>
      </c>
      <c r="D167" s="8">
        <v>8541</v>
      </c>
      <c r="E167" s="8" t="s">
        <v>223</v>
      </c>
      <c r="F167" s="9">
        <v>810001338</v>
      </c>
      <c r="G167" s="10" t="s">
        <v>225</v>
      </c>
      <c r="H167" s="3">
        <v>2700</v>
      </c>
      <c r="I167" s="4">
        <v>900</v>
      </c>
      <c r="J167" s="5">
        <v>716</v>
      </c>
      <c r="K167" s="6">
        <v>18</v>
      </c>
      <c r="L167" s="6">
        <f t="shared" si="2"/>
        <v>844.88</v>
      </c>
      <c r="M167" s="13">
        <f>L167*3</f>
        <v>2534.64</v>
      </c>
      <c r="N167" s="14"/>
    </row>
    <row r="168" spans="1:14" ht="15.75" customHeight="1" x14ac:dyDescent="0.35">
      <c r="A168" s="11">
        <v>163</v>
      </c>
      <c r="B168" s="8" t="s">
        <v>12</v>
      </c>
      <c r="C168" s="8" t="s">
        <v>20</v>
      </c>
      <c r="D168" s="8">
        <v>8541</v>
      </c>
      <c r="E168" s="8" t="s">
        <v>223</v>
      </c>
      <c r="F168" s="9">
        <v>810001339</v>
      </c>
      <c r="G168" s="10" t="s">
        <v>226</v>
      </c>
      <c r="H168" s="3">
        <v>1140</v>
      </c>
      <c r="I168" s="4">
        <v>950</v>
      </c>
      <c r="J168" s="5">
        <v>743</v>
      </c>
      <c r="K168" s="6">
        <v>18</v>
      </c>
      <c r="L168" s="6">
        <f t="shared" si="2"/>
        <v>876.74</v>
      </c>
      <c r="M168" s="13">
        <f>L168/1000*1200</f>
        <v>1052.088</v>
      </c>
      <c r="N168" s="14"/>
    </row>
    <row r="169" spans="1:14" ht="15.75" customHeight="1" x14ac:dyDescent="0.35">
      <c r="A169" s="11">
        <v>164</v>
      </c>
      <c r="B169" s="8" t="s">
        <v>12</v>
      </c>
      <c r="C169" s="8" t="s">
        <v>20</v>
      </c>
      <c r="D169" s="8">
        <v>8541</v>
      </c>
      <c r="E169" s="8" t="s">
        <v>223</v>
      </c>
      <c r="F169" s="9">
        <v>810001532</v>
      </c>
      <c r="G169" s="10" t="s">
        <v>580</v>
      </c>
      <c r="H169" s="3">
        <v>660</v>
      </c>
      <c r="I169" s="4">
        <v>1100</v>
      </c>
      <c r="J169" s="5">
        <v>769</v>
      </c>
      <c r="K169" s="6">
        <v>18</v>
      </c>
      <c r="L169" s="6">
        <f t="shared" ref="L169:L170" si="3">J169*(100+K169)%</f>
        <v>907.42</v>
      </c>
      <c r="M169" s="13">
        <f>L169/1000*600</f>
        <v>544.452</v>
      </c>
      <c r="N169" s="14"/>
    </row>
    <row r="170" spans="1:14" ht="15.75" customHeight="1" x14ac:dyDescent="0.35">
      <c r="A170" s="11">
        <v>165</v>
      </c>
      <c r="B170" s="8" t="s">
        <v>12</v>
      </c>
      <c r="C170" s="8" t="s">
        <v>20</v>
      </c>
      <c r="D170" s="8">
        <v>8541</v>
      </c>
      <c r="E170" s="8" t="s">
        <v>223</v>
      </c>
      <c r="F170" s="9">
        <v>810001533</v>
      </c>
      <c r="G170" s="10" t="s">
        <v>581</v>
      </c>
      <c r="H170" s="3">
        <v>360</v>
      </c>
      <c r="I170" s="4">
        <v>1200</v>
      </c>
      <c r="J170" s="5">
        <v>822</v>
      </c>
      <c r="K170" s="6">
        <v>18</v>
      </c>
      <c r="L170" s="6">
        <f t="shared" si="3"/>
        <v>969.95999999999992</v>
      </c>
      <c r="M170" s="13">
        <f>L170/1000*300</f>
        <v>290.988</v>
      </c>
      <c r="N170" s="14"/>
    </row>
    <row r="171" spans="1:14" ht="15.75" customHeight="1" x14ac:dyDescent="0.35">
      <c r="A171" s="11">
        <v>166</v>
      </c>
      <c r="B171" s="8" t="s">
        <v>19</v>
      </c>
      <c r="C171" s="8" t="s">
        <v>20</v>
      </c>
      <c r="D171" s="8">
        <v>8028</v>
      </c>
      <c r="E171" s="8" t="s">
        <v>227</v>
      </c>
      <c r="F171" s="9">
        <v>810000328</v>
      </c>
      <c r="G171" s="10" t="s">
        <v>228</v>
      </c>
      <c r="H171" s="3">
        <v>1750</v>
      </c>
      <c r="I171" s="4">
        <v>1750</v>
      </c>
      <c r="J171" s="5">
        <v>700</v>
      </c>
      <c r="K171" s="6">
        <v>18</v>
      </c>
      <c r="L171" s="6">
        <f t="shared" si="2"/>
        <v>826</v>
      </c>
      <c r="M171" s="13">
        <f>L171/1</f>
        <v>826</v>
      </c>
      <c r="N171" s="14" t="s">
        <v>593</v>
      </c>
    </row>
    <row r="172" spans="1:14" ht="15.75" customHeight="1" x14ac:dyDescent="0.35">
      <c r="A172" s="11">
        <v>167</v>
      </c>
      <c r="B172" s="8" t="s">
        <v>19</v>
      </c>
      <c r="C172" s="8" t="s">
        <v>20</v>
      </c>
      <c r="D172" s="8">
        <v>8028</v>
      </c>
      <c r="E172" s="8" t="s">
        <v>227</v>
      </c>
      <c r="F172" s="9">
        <v>810000331</v>
      </c>
      <c r="G172" s="10" t="s">
        <v>229</v>
      </c>
      <c r="H172" s="3">
        <v>925</v>
      </c>
      <c r="I172" s="4">
        <v>1850</v>
      </c>
      <c r="J172" s="5">
        <v>725</v>
      </c>
      <c r="K172" s="6">
        <v>18</v>
      </c>
      <c r="L172" s="6">
        <f t="shared" si="2"/>
        <v>855.5</v>
      </c>
      <c r="M172" s="13">
        <f>L172/2</f>
        <v>427.75</v>
      </c>
      <c r="N172" s="14" t="s">
        <v>593</v>
      </c>
    </row>
    <row r="173" spans="1:14" ht="15.75" customHeight="1" x14ac:dyDescent="0.35">
      <c r="A173" s="11">
        <v>168</v>
      </c>
      <c r="B173" s="8" t="s">
        <v>19</v>
      </c>
      <c r="C173" s="8" t="s">
        <v>20</v>
      </c>
      <c r="D173" s="8">
        <v>8028</v>
      </c>
      <c r="E173" s="8" t="s">
        <v>227</v>
      </c>
      <c r="F173" s="9">
        <v>810000329</v>
      </c>
      <c r="G173" s="10" t="s">
        <v>230</v>
      </c>
      <c r="H173" s="3">
        <v>505</v>
      </c>
      <c r="I173" s="4">
        <v>2020</v>
      </c>
      <c r="J173" s="5">
        <v>775</v>
      </c>
      <c r="K173" s="6">
        <v>18</v>
      </c>
      <c r="L173" s="6">
        <f t="shared" si="2"/>
        <v>914.5</v>
      </c>
      <c r="M173" s="13">
        <f>L173/4</f>
        <v>228.625</v>
      </c>
      <c r="N173" s="14" t="s">
        <v>593</v>
      </c>
    </row>
    <row r="174" spans="1:14" ht="15.75" customHeight="1" x14ac:dyDescent="0.35">
      <c r="A174" s="11">
        <v>169</v>
      </c>
      <c r="B174" s="8" t="s">
        <v>12</v>
      </c>
      <c r="C174" s="8" t="s">
        <v>20</v>
      </c>
      <c r="D174" s="8">
        <v>8538</v>
      </c>
      <c r="E174" s="8" t="s">
        <v>231</v>
      </c>
      <c r="F174" s="9">
        <v>810001317</v>
      </c>
      <c r="G174" s="10" t="s">
        <v>232</v>
      </c>
      <c r="H174" s="3">
        <v>3100</v>
      </c>
      <c r="I174" s="4">
        <v>3100</v>
      </c>
      <c r="J174" s="5">
        <v>1852</v>
      </c>
      <c r="K174" s="6">
        <v>18</v>
      </c>
      <c r="L174" s="6">
        <f t="shared" si="2"/>
        <v>2185.3599999999997</v>
      </c>
      <c r="M174" s="13">
        <f>L174/1</f>
        <v>2185.3599999999997</v>
      </c>
      <c r="N174" s="14"/>
    </row>
    <row r="175" spans="1:14" ht="15.75" customHeight="1" x14ac:dyDescent="0.35">
      <c r="A175" s="11">
        <v>170</v>
      </c>
      <c r="B175" s="8" t="s">
        <v>12</v>
      </c>
      <c r="C175" s="8" t="s">
        <v>20</v>
      </c>
      <c r="D175" s="8">
        <v>8538</v>
      </c>
      <c r="E175" s="8" t="s">
        <v>231</v>
      </c>
      <c r="F175" s="9">
        <v>810001318</v>
      </c>
      <c r="G175" s="10" t="s">
        <v>233</v>
      </c>
      <c r="H175" s="3">
        <v>1400</v>
      </c>
      <c r="I175" s="4">
        <v>3500</v>
      </c>
      <c r="J175" s="5">
        <v>1958</v>
      </c>
      <c r="K175" s="6">
        <v>18</v>
      </c>
      <c r="L175" s="6">
        <f t="shared" si="2"/>
        <v>2310.44</v>
      </c>
      <c r="M175" s="13">
        <f>L175/1000*400</f>
        <v>924.17600000000016</v>
      </c>
      <c r="N175" s="14"/>
    </row>
    <row r="176" spans="1:14" ht="15.75" customHeight="1" x14ac:dyDescent="0.35">
      <c r="A176" s="11">
        <v>171</v>
      </c>
      <c r="B176" s="8" t="s">
        <v>12</v>
      </c>
      <c r="C176" s="8" t="s">
        <v>20</v>
      </c>
      <c r="D176" s="8">
        <v>8538</v>
      </c>
      <c r="E176" s="8" t="s">
        <v>231</v>
      </c>
      <c r="F176" s="9">
        <v>810001319</v>
      </c>
      <c r="G176" s="10" t="s">
        <v>234</v>
      </c>
      <c r="H176" s="3">
        <v>750</v>
      </c>
      <c r="I176" s="4">
        <v>3750</v>
      </c>
      <c r="J176" s="5">
        <v>2063</v>
      </c>
      <c r="K176" s="6">
        <v>18</v>
      </c>
      <c r="L176" s="6">
        <f t="shared" si="2"/>
        <v>2434.3399999999997</v>
      </c>
      <c r="M176" s="13">
        <f>L176/1000*200</f>
        <v>486.86799999999994</v>
      </c>
      <c r="N176" s="14"/>
    </row>
    <row r="177" spans="1:14" ht="15.75" customHeight="1" x14ac:dyDescent="0.35">
      <c r="A177" s="11">
        <v>172</v>
      </c>
      <c r="B177" s="8" t="s">
        <v>19</v>
      </c>
      <c r="C177" s="8" t="s">
        <v>20</v>
      </c>
      <c r="D177" s="8">
        <v>8509</v>
      </c>
      <c r="E177" s="8" t="s">
        <v>235</v>
      </c>
      <c r="F177" s="9">
        <v>810001205</v>
      </c>
      <c r="G177" s="10" t="s">
        <v>236</v>
      </c>
      <c r="H177" s="3">
        <v>4100</v>
      </c>
      <c r="I177" s="4">
        <v>4100</v>
      </c>
      <c r="J177" s="5">
        <v>2725</v>
      </c>
      <c r="K177" s="6">
        <v>18</v>
      </c>
      <c r="L177" s="6">
        <f t="shared" si="2"/>
        <v>3215.5</v>
      </c>
      <c r="M177" s="13">
        <f>L177/1</f>
        <v>3215.5</v>
      </c>
      <c r="N177" s="14"/>
    </row>
    <row r="178" spans="1:14" ht="15.75" customHeight="1" x14ac:dyDescent="0.35">
      <c r="A178" s="11">
        <v>173</v>
      </c>
      <c r="B178" s="8" t="s">
        <v>19</v>
      </c>
      <c r="C178" s="8" t="s">
        <v>20</v>
      </c>
      <c r="D178" s="8">
        <v>8509</v>
      </c>
      <c r="E178" s="8" t="s">
        <v>235</v>
      </c>
      <c r="F178" s="9">
        <v>810001206</v>
      </c>
      <c r="G178" s="10" t="s">
        <v>237</v>
      </c>
      <c r="H178" s="3">
        <v>2095</v>
      </c>
      <c r="I178" s="4">
        <v>4190</v>
      </c>
      <c r="J178" s="5">
        <v>2831</v>
      </c>
      <c r="K178" s="6">
        <v>18</v>
      </c>
      <c r="L178" s="6">
        <f t="shared" si="2"/>
        <v>3340.58</v>
      </c>
      <c r="M178" s="13">
        <f>L178/2</f>
        <v>1670.29</v>
      </c>
      <c r="N178" s="14"/>
    </row>
    <row r="179" spans="1:14" ht="15.75" customHeight="1" x14ac:dyDescent="0.35">
      <c r="A179" s="11">
        <v>174</v>
      </c>
      <c r="B179" s="8" t="s">
        <v>104</v>
      </c>
      <c r="C179" s="8" t="s">
        <v>23</v>
      </c>
      <c r="D179" s="8">
        <v>8583</v>
      </c>
      <c r="E179" s="8" t="s">
        <v>238</v>
      </c>
      <c r="F179" s="9">
        <v>810001478</v>
      </c>
      <c r="G179" s="10" t="s">
        <v>239</v>
      </c>
      <c r="H179" s="3">
        <v>4500</v>
      </c>
      <c r="I179" s="4">
        <v>4500</v>
      </c>
      <c r="J179" s="5">
        <v>2328</v>
      </c>
      <c r="K179" s="6">
        <v>18</v>
      </c>
      <c r="L179" s="6">
        <f t="shared" si="2"/>
        <v>2747.04</v>
      </c>
      <c r="M179" s="13">
        <f>L179/1</f>
        <v>2747.04</v>
      </c>
      <c r="N179" s="14"/>
    </row>
    <row r="180" spans="1:14" ht="15.75" customHeight="1" x14ac:dyDescent="0.35">
      <c r="A180" s="11">
        <v>175</v>
      </c>
      <c r="B180" s="8" t="s">
        <v>104</v>
      </c>
      <c r="C180" s="8" t="s">
        <v>23</v>
      </c>
      <c r="D180" s="8">
        <v>8583</v>
      </c>
      <c r="E180" s="8" t="s">
        <v>238</v>
      </c>
      <c r="F180" s="9">
        <v>810001479</v>
      </c>
      <c r="G180" s="10" t="s">
        <v>240</v>
      </c>
      <c r="H180" s="3">
        <v>500</v>
      </c>
      <c r="I180" s="4">
        <v>5000</v>
      </c>
      <c r="J180" s="5">
        <v>2540</v>
      </c>
      <c r="K180" s="6">
        <v>18</v>
      </c>
      <c r="L180" s="6">
        <f t="shared" si="2"/>
        <v>2997.2</v>
      </c>
      <c r="M180" s="13">
        <f>L180/10</f>
        <v>299.71999999999997</v>
      </c>
      <c r="N180" s="14"/>
    </row>
    <row r="181" spans="1:14" ht="15.75" customHeight="1" x14ac:dyDescent="0.35">
      <c r="A181" s="11">
        <v>176</v>
      </c>
      <c r="B181" s="8" t="s">
        <v>104</v>
      </c>
      <c r="C181" s="8" t="s">
        <v>23</v>
      </c>
      <c r="D181" s="8">
        <v>8606</v>
      </c>
      <c r="E181" s="8" t="s">
        <v>241</v>
      </c>
      <c r="F181" s="9">
        <v>810001535</v>
      </c>
      <c r="G181" s="10" t="s">
        <v>242</v>
      </c>
      <c r="H181" s="3">
        <v>2550</v>
      </c>
      <c r="I181" s="4">
        <v>7500</v>
      </c>
      <c r="J181" s="5">
        <v>4699</v>
      </c>
      <c r="K181" s="6">
        <v>18</v>
      </c>
      <c r="L181" s="6">
        <f t="shared" si="2"/>
        <v>5544.82</v>
      </c>
      <c r="M181" s="13">
        <f>L181/1000*340</f>
        <v>1885.2387999999999</v>
      </c>
      <c r="N181" s="14"/>
    </row>
    <row r="182" spans="1:14" ht="15.75" customHeight="1" x14ac:dyDescent="0.35">
      <c r="A182" s="11">
        <v>177</v>
      </c>
      <c r="B182" s="8" t="s">
        <v>104</v>
      </c>
      <c r="C182" s="8" t="s">
        <v>23</v>
      </c>
      <c r="D182" s="8">
        <v>8606</v>
      </c>
      <c r="E182" s="8" t="s">
        <v>241</v>
      </c>
      <c r="F182" s="9">
        <v>810001536</v>
      </c>
      <c r="G182" s="10" t="s">
        <v>243</v>
      </c>
      <c r="H182" s="3">
        <v>1445</v>
      </c>
      <c r="I182" s="4">
        <v>8500</v>
      </c>
      <c r="J182" s="5">
        <v>5010</v>
      </c>
      <c r="K182" s="6">
        <v>18</v>
      </c>
      <c r="L182" s="6">
        <f t="shared" si="2"/>
        <v>5911.7999999999993</v>
      </c>
      <c r="M182" s="13">
        <f>L182/1000*170</f>
        <v>1005.0059999999999</v>
      </c>
      <c r="N182" s="14"/>
    </row>
    <row r="183" spans="1:14" ht="15.75" customHeight="1" x14ac:dyDescent="0.35">
      <c r="A183" s="11">
        <v>178</v>
      </c>
      <c r="B183" s="8" t="s">
        <v>104</v>
      </c>
      <c r="C183" s="8" t="s">
        <v>23</v>
      </c>
      <c r="D183" s="8">
        <v>8606</v>
      </c>
      <c r="E183" s="8" t="s">
        <v>241</v>
      </c>
      <c r="F183" s="9">
        <v>810001537</v>
      </c>
      <c r="G183" s="10" t="s">
        <v>244</v>
      </c>
      <c r="H183" s="3">
        <v>833.00000000000011</v>
      </c>
      <c r="I183" s="4">
        <v>9800</v>
      </c>
      <c r="J183" s="5">
        <v>5528</v>
      </c>
      <c r="K183" s="6">
        <v>18</v>
      </c>
      <c r="L183" s="6">
        <f t="shared" si="2"/>
        <v>6523.04</v>
      </c>
      <c r="M183" s="13">
        <f>L183/1000*85</f>
        <v>554.45839999999998</v>
      </c>
      <c r="N183" s="14"/>
    </row>
    <row r="184" spans="1:14" ht="15.75" customHeight="1" x14ac:dyDescent="0.35">
      <c r="A184" s="11">
        <v>179</v>
      </c>
      <c r="B184" s="8" t="s">
        <v>19</v>
      </c>
      <c r="C184" s="8" t="s">
        <v>20</v>
      </c>
      <c r="D184" s="8">
        <v>8031</v>
      </c>
      <c r="E184" s="8" t="s">
        <v>245</v>
      </c>
      <c r="F184" s="9">
        <v>810000434</v>
      </c>
      <c r="G184" s="10" t="s">
        <v>246</v>
      </c>
      <c r="H184" s="3">
        <v>125</v>
      </c>
      <c r="I184" s="4">
        <v>125</v>
      </c>
      <c r="J184" s="5">
        <v>51</v>
      </c>
      <c r="K184" s="6">
        <v>18</v>
      </c>
      <c r="L184" s="6">
        <f t="shared" si="2"/>
        <v>60.18</v>
      </c>
      <c r="M184" s="13">
        <f>L184/1</f>
        <v>60.18</v>
      </c>
      <c r="N184" s="14"/>
    </row>
    <row r="185" spans="1:14" ht="15.75" customHeight="1" x14ac:dyDescent="0.35">
      <c r="A185" s="11">
        <v>180</v>
      </c>
      <c r="B185" s="8" t="s">
        <v>19</v>
      </c>
      <c r="C185" s="8" t="s">
        <v>23</v>
      </c>
      <c r="D185" s="8">
        <v>8033</v>
      </c>
      <c r="E185" s="8" t="s">
        <v>247</v>
      </c>
      <c r="F185" s="9">
        <v>810000404</v>
      </c>
      <c r="G185" s="10" t="s">
        <v>248</v>
      </c>
      <c r="H185" s="3">
        <v>750</v>
      </c>
      <c r="I185" s="4">
        <v>750</v>
      </c>
      <c r="J185" s="5">
        <v>402</v>
      </c>
      <c r="K185" s="6">
        <v>18</v>
      </c>
      <c r="L185" s="6">
        <f t="shared" si="2"/>
        <v>474.35999999999996</v>
      </c>
      <c r="M185" s="13">
        <f>L185/1</f>
        <v>474.35999999999996</v>
      </c>
      <c r="N185" s="14"/>
    </row>
    <row r="186" spans="1:14" ht="15.75" customHeight="1" x14ac:dyDescent="0.35">
      <c r="A186" s="11">
        <v>181</v>
      </c>
      <c r="B186" s="8" t="s">
        <v>19</v>
      </c>
      <c r="C186" s="8" t="s">
        <v>23</v>
      </c>
      <c r="D186" s="8">
        <v>8033</v>
      </c>
      <c r="E186" s="8" t="s">
        <v>247</v>
      </c>
      <c r="F186" s="9">
        <v>810000407</v>
      </c>
      <c r="G186" s="10" t="s">
        <v>249</v>
      </c>
      <c r="H186" s="3">
        <v>411</v>
      </c>
      <c r="I186" s="4">
        <v>822</v>
      </c>
      <c r="J186" s="5">
        <v>429</v>
      </c>
      <c r="K186" s="6">
        <v>18</v>
      </c>
      <c r="L186" s="6">
        <f t="shared" si="2"/>
        <v>506.21999999999997</v>
      </c>
      <c r="M186" s="13">
        <f>L186/2</f>
        <v>253.10999999999999</v>
      </c>
      <c r="N186" s="14"/>
    </row>
    <row r="187" spans="1:14" ht="15.75" customHeight="1" x14ac:dyDescent="0.35">
      <c r="A187" s="11">
        <v>182</v>
      </c>
      <c r="B187" s="8" t="s">
        <v>19</v>
      </c>
      <c r="C187" s="8" t="s">
        <v>23</v>
      </c>
      <c r="D187" s="8">
        <v>8033</v>
      </c>
      <c r="E187" s="8" t="s">
        <v>247</v>
      </c>
      <c r="F187" s="9">
        <v>810000406</v>
      </c>
      <c r="G187" s="10" t="s">
        <v>250</v>
      </c>
      <c r="H187" s="3">
        <v>221</v>
      </c>
      <c r="I187" s="4">
        <v>884</v>
      </c>
      <c r="J187" s="5">
        <v>450</v>
      </c>
      <c r="K187" s="6">
        <v>18</v>
      </c>
      <c r="L187" s="6">
        <f t="shared" si="2"/>
        <v>531</v>
      </c>
      <c r="M187" s="13">
        <f>L187/4</f>
        <v>132.75</v>
      </c>
      <c r="N187" s="14"/>
    </row>
    <row r="188" spans="1:14" ht="15.75" customHeight="1" x14ac:dyDescent="0.35">
      <c r="A188" s="11">
        <v>183</v>
      </c>
      <c r="B188" s="8" t="s">
        <v>19</v>
      </c>
      <c r="C188" s="8" t="s">
        <v>23</v>
      </c>
      <c r="D188" s="8">
        <v>8033</v>
      </c>
      <c r="E188" s="8" t="s">
        <v>247</v>
      </c>
      <c r="F188" s="9">
        <v>810000405</v>
      </c>
      <c r="G188" s="10" t="s">
        <v>251</v>
      </c>
      <c r="H188" s="3">
        <v>101</v>
      </c>
      <c r="I188" s="4">
        <v>1010</v>
      </c>
      <c r="J188" s="5">
        <v>524</v>
      </c>
      <c r="K188" s="6">
        <v>18</v>
      </c>
      <c r="L188" s="6">
        <f t="shared" si="2"/>
        <v>618.31999999999994</v>
      </c>
      <c r="M188" s="13">
        <f>L188/10</f>
        <v>61.831999999999994</v>
      </c>
      <c r="N188" s="14"/>
    </row>
    <row r="189" spans="1:14" ht="15.75" customHeight="1" x14ac:dyDescent="0.35">
      <c r="A189" s="11">
        <v>184</v>
      </c>
      <c r="B189" s="8" t="s">
        <v>31</v>
      </c>
      <c r="C189" s="8" t="s">
        <v>23</v>
      </c>
      <c r="D189" s="8">
        <v>8032</v>
      </c>
      <c r="E189" s="8" t="s">
        <v>252</v>
      </c>
      <c r="F189" s="9">
        <v>810000410</v>
      </c>
      <c r="G189" s="10" t="s">
        <v>253</v>
      </c>
      <c r="H189" s="3">
        <v>3255</v>
      </c>
      <c r="I189" s="4">
        <v>651</v>
      </c>
      <c r="J189" s="5">
        <v>344</v>
      </c>
      <c r="K189" s="6">
        <v>18</v>
      </c>
      <c r="L189" s="6">
        <f t="shared" si="2"/>
        <v>405.91999999999996</v>
      </c>
      <c r="M189" s="13">
        <f>L189*5</f>
        <v>2029.6</v>
      </c>
      <c r="N189" s="14"/>
    </row>
    <row r="190" spans="1:14" ht="15.75" customHeight="1" x14ac:dyDescent="0.35">
      <c r="A190" s="11">
        <v>185</v>
      </c>
      <c r="B190" s="8" t="s">
        <v>31</v>
      </c>
      <c r="C190" s="8" t="s">
        <v>23</v>
      </c>
      <c r="D190" s="8">
        <v>8032</v>
      </c>
      <c r="E190" s="8" t="s">
        <v>252</v>
      </c>
      <c r="F190" s="9">
        <v>810000409</v>
      </c>
      <c r="G190" s="10" t="s">
        <v>254</v>
      </c>
      <c r="H190" s="3">
        <v>675</v>
      </c>
      <c r="I190" s="4">
        <v>675</v>
      </c>
      <c r="J190" s="5">
        <v>354</v>
      </c>
      <c r="K190" s="6">
        <v>18</v>
      </c>
      <c r="L190" s="6">
        <f t="shared" si="2"/>
        <v>417.71999999999997</v>
      </c>
      <c r="M190" s="13">
        <f>L190/1</f>
        <v>417.71999999999997</v>
      </c>
      <c r="N190" s="14"/>
    </row>
    <row r="191" spans="1:14" ht="15.75" customHeight="1" x14ac:dyDescent="0.35">
      <c r="A191" s="11">
        <v>186</v>
      </c>
      <c r="B191" s="8" t="s">
        <v>31</v>
      </c>
      <c r="C191" s="8" t="s">
        <v>23</v>
      </c>
      <c r="D191" s="8">
        <v>8032</v>
      </c>
      <c r="E191" s="8" t="s">
        <v>252</v>
      </c>
      <c r="F191" s="9">
        <v>810000411</v>
      </c>
      <c r="G191" s="10" t="s">
        <v>255</v>
      </c>
      <c r="H191" s="3">
        <v>355</v>
      </c>
      <c r="I191" s="4">
        <v>710</v>
      </c>
      <c r="J191" s="5">
        <v>370</v>
      </c>
      <c r="K191" s="6">
        <v>18</v>
      </c>
      <c r="L191" s="6">
        <f t="shared" si="2"/>
        <v>436.59999999999997</v>
      </c>
      <c r="M191" s="13">
        <f>L191/2</f>
        <v>218.29999999999998</v>
      </c>
      <c r="N191" s="14"/>
    </row>
    <row r="192" spans="1:14" ht="15.75" customHeight="1" x14ac:dyDescent="0.35">
      <c r="A192" s="11">
        <v>187</v>
      </c>
      <c r="B192" s="8" t="s">
        <v>31</v>
      </c>
      <c r="C192" s="8" t="s">
        <v>23</v>
      </c>
      <c r="D192" s="8">
        <v>8032</v>
      </c>
      <c r="E192" s="8" t="s">
        <v>252</v>
      </c>
      <c r="F192" s="9">
        <v>810000413</v>
      </c>
      <c r="G192" s="10" t="s">
        <v>256</v>
      </c>
      <c r="H192" s="3">
        <v>195</v>
      </c>
      <c r="I192" s="4">
        <v>780</v>
      </c>
      <c r="J192" s="5">
        <v>397</v>
      </c>
      <c r="K192" s="6">
        <v>18</v>
      </c>
      <c r="L192" s="6">
        <f t="shared" si="2"/>
        <v>468.46</v>
      </c>
      <c r="M192" s="13">
        <f>L192/4</f>
        <v>117.11499999999999</v>
      </c>
      <c r="N192" s="14"/>
    </row>
    <row r="193" spans="1:14" ht="15.75" customHeight="1" x14ac:dyDescent="0.35">
      <c r="A193" s="11">
        <v>188</v>
      </c>
      <c r="B193" s="8" t="s">
        <v>31</v>
      </c>
      <c r="C193" s="8" t="s">
        <v>23</v>
      </c>
      <c r="D193" s="8">
        <v>8032</v>
      </c>
      <c r="E193" s="8" t="s">
        <v>252</v>
      </c>
      <c r="F193" s="9">
        <v>810000412</v>
      </c>
      <c r="G193" s="10" t="s">
        <v>257</v>
      </c>
      <c r="H193" s="3">
        <v>85</v>
      </c>
      <c r="I193" s="4">
        <v>850</v>
      </c>
      <c r="J193" s="5">
        <v>418</v>
      </c>
      <c r="K193" s="6">
        <v>18</v>
      </c>
      <c r="L193" s="6">
        <f t="shared" si="2"/>
        <v>493.23999999999995</v>
      </c>
      <c r="M193" s="13">
        <f>L193/10</f>
        <v>49.323999999999998</v>
      </c>
      <c r="N193" s="14"/>
    </row>
    <row r="194" spans="1:14" ht="15.75" customHeight="1" x14ac:dyDescent="0.35">
      <c r="A194" s="11">
        <v>189</v>
      </c>
      <c r="B194" s="8" t="s">
        <v>19</v>
      </c>
      <c r="C194" s="8" t="s">
        <v>13</v>
      </c>
      <c r="D194" s="8">
        <v>8034</v>
      </c>
      <c r="E194" s="8" t="s">
        <v>258</v>
      </c>
      <c r="F194" s="9">
        <v>810000738</v>
      </c>
      <c r="G194" s="10" t="s">
        <v>259</v>
      </c>
      <c r="H194" s="3">
        <v>1350</v>
      </c>
      <c r="I194" s="4">
        <v>1350</v>
      </c>
      <c r="J194" s="5">
        <v>709</v>
      </c>
      <c r="K194" s="6">
        <v>18</v>
      </c>
      <c r="L194" s="6">
        <f t="shared" si="2"/>
        <v>836.62</v>
      </c>
      <c r="M194" s="13">
        <f>L194/1</f>
        <v>836.62</v>
      </c>
      <c r="N194" s="14"/>
    </row>
    <row r="195" spans="1:14" ht="15.75" customHeight="1" x14ac:dyDescent="0.35">
      <c r="A195" s="11">
        <v>190</v>
      </c>
      <c r="B195" s="8" t="s">
        <v>19</v>
      </c>
      <c r="C195" s="8" t="s">
        <v>13</v>
      </c>
      <c r="D195" s="8">
        <v>8034</v>
      </c>
      <c r="E195" s="8" t="s">
        <v>258</v>
      </c>
      <c r="F195" s="9">
        <v>810000741</v>
      </c>
      <c r="G195" s="10" t="s">
        <v>260</v>
      </c>
      <c r="H195" s="3">
        <v>725</v>
      </c>
      <c r="I195" s="4">
        <v>1450</v>
      </c>
      <c r="J195" s="5">
        <v>735</v>
      </c>
      <c r="K195" s="6">
        <v>18</v>
      </c>
      <c r="L195" s="6">
        <f t="shared" si="2"/>
        <v>867.3</v>
      </c>
      <c r="M195" s="13">
        <f>L195/2</f>
        <v>433.65</v>
      </c>
      <c r="N195" s="14"/>
    </row>
    <row r="196" spans="1:14" ht="15.75" customHeight="1" x14ac:dyDescent="0.35">
      <c r="A196" s="11">
        <v>191</v>
      </c>
      <c r="B196" s="8" t="s">
        <v>19</v>
      </c>
      <c r="C196" s="8" t="s">
        <v>13</v>
      </c>
      <c r="D196" s="8">
        <v>8034</v>
      </c>
      <c r="E196" s="8" t="s">
        <v>258</v>
      </c>
      <c r="F196" s="9">
        <v>810000740</v>
      </c>
      <c r="G196" s="10" t="s">
        <v>261</v>
      </c>
      <c r="H196" s="3">
        <v>405</v>
      </c>
      <c r="I196" s="4">
        <v>1620</v>
      </c>
      <c r="J196" s="5">
        <v>783</v>
      </c>
      <c r="K196" s="6">
        <v>18</v>
      </c>
      <c r="L196" s="6">
        <f t="shared" si="2"/>
        <v>923.93999999999994</v>
      </c>
      <c r="M196" s="13">
        <f>L196/4</f>
        <v>230.98499999999999</v>
      </c>
      <c r="N196" s="14"/>
    </row>
    <row r="197" spans="1:14" ht="15.75" customHeight="1" x14ac:dyDescent="0.35">
      <c r="A197" s="11">
        <v>192</v>
      </c>
      <c r="B197" s="8" t="s">
        <v>19</v>
      </c>
      <c r="C197" s="8" t="s">
        <v>13</v>
      </c>
      <c r="D197" s="8">
        <v>8034</v>
      </c>
      <c r="E197" s="8" t="s">
        <v>258</v>
      </c>
      <c r="F197" s="9">
        <v>810000742</v>
      </c>
      <c r="G197" s="10" t="s">
        <v>262</v>
      </c>
      <c r="H197" s="3">
        <v>175</v>
      </c>
      <c r="I197" s="4">
        <v>1750</v>
      </c>
      <c r="J197" s="5">
        <v>868</v>
      </c>
      <c r="K197" s="6">
        <v>18</v>
      </c>
      <c r="L197" s="6">
        <f t="shared" si="2"/>
        <v>1024.24</v>
      </c>
      <c r="M197" s="13">
        <f>L197/10</f>
        <v>102.42400000000001</v>
      </c>
      <c r="N197" s="14"/>
    </row>
    <row r="198" spans="1:14" ht="15.75" customHeight="1" x14ac:dyDescent="0.35">
      <c r="A198" s="11">
        <v>193</v>
      </c>
      <c r="B198" s="8" t="s">
        <v>19</v>
      </c>
      <c r="C198" s="8" t="s">
        <v>23</v>
      </c>
      <c r="D198" s="8">
        <v>8553</v>
      </c>
      <c r="E198" s="8" t="s">
        <v>263</v>
      </c>
      <c r="F198" s="9">
        <v>810001363</v>
      </c>
      <c r="G198" s="10" t="s">
        <v>264</v>
      </c>
      <c r="H198" s="3">
        <v>3950</v>
      </c>
      <c r="I198" s="4">
        <v>3950</v>
      </c>
      <c r="J198" s="5">
        <v>1134</v>
      </c>
      <c r="K198" s="6">
        <v>18</v>
      </c>
      <c r="L198" s="6">
        <f t="shared" si="2"/>
        <v>1338.12</v>
      </c>
      <c r="M198" s="13">
        <f>L198/1</f>
        <v>1338.12</v>
      </c>
      <c r="N198" s="14"/>
    </row>
    <row r="199" spans="1:14" ht="15.75" customHeight="1" x14ac:dyDescent="0.35">
      <c r="A199" s="11">
        <v>194</v>
      </c>
      <c r="B199" s="8" t="s">
        <v>19</v>
      </c>
      <c r="C199" s="8" t="s">
        <v>23</v>
      </c>
      <c r="D199" s="8">
        <v>8553</v>
      </c>
      <c r="E199" s="8" t="s">
        <v>263</v>
      </c>
      <c r="F199" s="9">
        <v>810001364</v>
      </c>
      <c r="G199" s="10" t="s">
        <v>265</v>
      </c>
      <c r="H199" s="3">
        <v>2050</v>
      </c>
      <c r="I199" s="4">
        <v>4100</v>
      </c>
      <c r="J199" s="5">
        <v>1175</v>
      </c>
      <c r="K199" s="6">
        <v>18</v>
      </c>
      <c r="L199" s="6">
        <f t="shared" si="2"/>
        <v>1386.5</v>
      </c>
      <c r="M199" s="13">
        <f>L199/2</f>
        <v>693.25</v>
      </c>
      <c r="N199" s="14"/>
    </row>
    <row r="200" spans="1:14" ht="15.75" customHeight="1" x14ac:dyDescent="0.35">
      <c r="A200" s="11">
        <v>195</v>
      </c>
      <c r="B200" s="8" t="s">
        <v>19</v>
      </c>
      <c r="C200" s="8" t="s">
        <v>23</v>
      </c>
      <c r="D200" s="8">
        <v>8553</v>
      </c>
      <c r="E200" s="8" t="s">
        <v>263</v>
      </c>
      <c r="F200" s="9">
        <v>810001365</v>
      </c>
      <c r="G200" s="10" t="s">
        <v>266</v>
      </c>
      <c r="H200" s="3">
        <v>1050</v>
      </c>
      <c r="I200" s="4">
        <v>4200</v>
      </c>
      <c r="J200" s="5">
        <v>1237</v>
      </c>
      <c r="K200" s="6">
        <v>18</v>
      </c>
      <c r="L200" s="6">
        <f t="shared" ref="L200:L263" si="4">J200*(100+K200)%</f>
        <v>1459.6599999999999</v>
      </c>
      <c r="M200" s="13">
        <f>L200/4</f>
        <v>364.91499999999996</v>
      </c>
      <c r="N200" s="14"/>
    </row>
    <row r="201" spans="1:14" ht="15.75" customHeight="1" x14ac:dyDescent="0.35">
      <c r="A201" s="11">
        <v>196</v>
      </c>
      <c r="B201" s="8" t="s">
        <v>19</v>
      </c>
      <c r="C201" s="8" t="s">
        <v>23</v>
      </c>
      <c r="D201" s="8">
        <v>8553</v>
      </c>
      <c r="E201" s="8" t="s">
        <v>263</v>
      </c>
      <c r="F201" s="9">
        <v>810001366</v>
      </c>
      <c r="G201" s="10" t="s">
        <v>267</v>
      </c>
      <c r="H201" s="3">
        <v>450</v>
      </c>
      <c r="I201" s="4">
        <v>4500</v>
      </c>
      <c r="J201" s="5">
        <v>1340</v>
      </c>
      <c r="K201" s="6">
        <v>18</v>
      </c>
      <c r="L201" s="6">
        <f t="shared" si="4"/>
        <v>1581.1999999999998</v>
      </c>
      <c r="M201" s="13">
        <f>L201/10</f>
        <v>158.11999999999998</v>
      </c>
      <c r="N201" s="14"/>
    </row>
    <row r="202" spans="1:14" ht="15.75" customHeight="1" x14ac:dyDescent="0.35">
      <c r="A202" s="11">
        <v>197</v>
      </c>
      <c r="B202" s="8" t="s">
        <v>12</v>
      </c>
      <c r="C202" s="8" t="s">
        <v>20</v>
      </c>
      <c r="D202" s="8">
        <v>8548</v>
      </c>
      <c r="E202" s="8" t="s">
        <v>268</v>
      </c>
      <c r="F202" s="9">
        <v>810001329</v>
      </c>
      <c r="G202" s="10" t="s">
        <v>269</v>
      </c>
      <c r="H202" s="3">
        <v>1750</v>
      </c>
      <c r="I202" s="4">
        <v>1750</v>
      </c>
      <c r="J202" s="5">
        <v>1138</v>
      </c>
      <c r="K202" s="6">
        <v>18</v>
      </c>
      <c r="L202" s="6">
        <f t="shared" si="4"/>
        <v>1342.84</v>
      </c>
      <c r="M202" s="13">
        <f>L202/1</f>
        <v>1342.84</v>
      </c>
      <c r="N202" s="14"/>
    </row>
    <row r="203" spans="1:14" ht="15.75" customHeight="1" x14ac:dyDescent="0.35">
      <c r="A203" s="11">
        <v>198</v>
      </c>
      <c r="B203" s="8" t="s">
        <v>12</v>
      </c>
      <c r="C203" s="8" t="s">
        <v>20</v>
      </c>
      <c r="D203" s="8">
        <v>8548</v>
      </c>
      <c r="E203" s="8" t="s">
        <v>268</v>
      </c>
      <c r="F203" s="9">
        <v>810001330</v>
      </c>
      <c r="G203" s="10" t="s">
        <v>270</v>
      </c>
      <c r="H203" s="3">
        <v>450</v>
      </c>
      <c r="I203" s="4">
        <v>2250</v>
      </c>
      <c r="J203" s="5">
        <v>1270</v>
      </c>
      <c r="K203" s="6">
        <v>18</v>
      </c>
      <c r="L203" s="6">
        <f t="shared" si="4"/>
        <v>1498.6</v>
      </c>
      <c r="M203" s="13">
        <f>L203/5</f>
        <v>299.71999999999997</v>
      </c>
      <c r="N203" s="14"/>
    </row>
    <row r="204" spans="1:14" ht="15.75" customHeight="1" x14ac:dyDescent="0.35">
      <c r="A204" s="11">
        <v>199</v>
      </c>
      <c r="B204" s="8" t="s">
        <v>12</v>
      </c>
      <c r="C204" s="8" t="s">
        <v>13</v>
      </c>
      <c r="D204" s="8">
        <v>8596</v>
      </c>
      <c r="E204" s="8" t="s">
        <v>271</v>
      </c>
      <c r="F204" s="9">
        <v>810001502</v>
      </c>
      <c r="G204" s="10" t="s">
        <v>272</v>
      </c>
      <c r="H204" s="3">
        <v>16500</v>
      </c>
      <c r="I204" s="4">
        <v>3300</v>
      </c>
      <c r="J204" s="5">
        <v>1825</v>
      </c>
      <c r="K204" s="6">
        <v>18</v>
      </c>
      <c r="L204" s="6">
        <f t="shared" si="4"/>
        <v>2153.5</v>
      </c>
      <c r="M204" s="13">
        <f>L204*5</f>
        <v>10767.5</v>
      </c>
      <c r="N204" s="14"/>
    </row>
    <row r="205" spans="1:14" ht="15.75" customHeight="1" x14ac:dyDescent="0.35">
      <c r="A205" s="11">
        <v>200</v>
      </c>
      <c r="B205" s="8" t="s">
        <v>12</v>
      </c>
      <c r="C205" s="8" t="s">
        <v>13</v>
      </c>
      <c r="D205" s="8">
        <v>8596</v>
      </c>
      <c r="E205" s="8" t="s">
        <v>271</v>
      </c>
      <c r="F205" s="9">
        <v>810001503</v>
      </c>
      <c r="G205" s="10" t="s">
        <v>273</v>
      </c>
      <c r="H205" s="3">
        <v>3500</v>
      </c>
      <c r="I205" s="4">
        <v>3500</v>
      </c>
      <c r="J205" s="5">
        <v>1852</v>
      </c>
      <c r="K205" s="6">
        <v>18</v>
      </c>
      <c r="L205" s="6">
        <f t="shared" si="4"/>
        <v>2185.3599999999997</v>
      </c>
      <c r="M205" s="13">
        <f>L205/1</f>
        <v>2185.3599999999997</v>
      </c>
      <c r="N205" s="14"/>
    </row>
    <row r="206" spans="1:14" ht="15.75" customHeight="1" x14ac:dyDescent="0.35">
      <c r="A206" s="11">
        <v>201</v>
      </c>
      <c r="B206" s="8" t="s">
        <v>12</v>
      </c>
      <c r="C206" s="8" t="s">
        <v>13</v>
      </c>
      <c r="D206" s="8">
        <v>8596</v>
      </c>
      <c r="E206" s="8" t="s">
        <v>271</v>
      </c>
      <c r="F206" s="9">
        <v>810001504</v>
      </c>
      <c r="G206" s="10" t="s">
        <v>274</v>
      </c>
      <c r="H206" s="3">
        <v>1500</v>
      </c>
      <c r="I206" s="4">
        <v>3750</v>
      </c>
      <c r="J206" s="5">
        <v>1905</v>
      </c>
      <c r="K206" s="6">
        <v>18</v>
      </c>
      <c r="L206" s="6">
        <f t="shared" si="4"/>
        <v>2247.9</v>
      </c>
      <c r="M206" s="13">
        <f>L206/1000*400</f>
        <v>899.16</v>
      </c>
      <c r="N206" s="14"/>
    </row>
    <row r="207" spans="1:14" ht="15.75" customHeight="1" x14ac:dyDescent="0.35">
      <c r="A207" s="11">
        <v>202</v>
      </c>
      <c r="B207" s="8" t="s">
        <v>12</v>
      </c>
      <c r="C207" s="8" t="s">
        <v>13</v>
      </c>
      <c r="D207" s="8">
        <v>8596</v>
      </c>
      <c r="E207" s="8" t="s">
        <v>271</v>
      </c>
      <c r="F207" s="9">
        <v>810001505</v>
      </c>
      <c r="G207" s="10" t="s">
        <v>275</v>
      </c>
      <c r="H207" s="3">
        <v>800</v>
      </c>
      <c r="I207" s="4">
        <v>4000</v>
      </c>
      <c r="J207" s="5">
        <v>1984</v>
      </c>
      <c r="K207" s="6">
        <v>18</v>
      </c>
      <c r="L207" s="6">
        <f t="shared" si="4"/>
        <v>2341.12</v>
      </c>
      <c r="M207" s="13">
        <f>L207/5</f>
        <v>468.22399999999999</v>
      </c>
      <c r="N207" s="14"/>
    </row>
    <row r="208" spans="1:14" ht="15.75" customHeight="1" x14ac:dyDescent="0.35">
      <c r="A208" s="11">
        <v>203</v>
      </c>
      <c r="B208" s="8" t="s">
        <v>12</v>
      </c>
      <c r="C208" s="8" t="s">
        <v>13</v>
      </c>
      <c r="D208" s="8">
        <v>8596</v>
      </c>
      <c r="E208" s="8" t="s">
        <v>271</v>
      </c>
      <c r="F208" s="9">
        <v>810001506</v>
      </c>
      <c r="G208" s="10" t="s">
        <v>276</v>
      </c>
      <c r="H208" s="3">
        <v>450</v>
      </c>
      <c r="I208" s="4">
        <v>4500</v>
      </c>
      <c r="J208" s="5">
        <v>2116</v>
      </c>
      <c r="K208" s="6">
        <v>18</v>
      </c>
      <c r="L208" s="6">
        <f t="shared" si="4"/>
        <v>2496.8799999999997</v>
      </c>
      <c r="M208" s="13">
        <f>L208/10</f>
        <v>249.68799999999996</v>
      </c>
      <c r="N208" s="14"/>
    </row>
    <row r="209" spans="1:14" ht="15.75" customHeight="1" x14ac:dyDescent="0.35">
      <c r="A209" s="11">
        <v>204</v>
      </c>
      <c r="B209" s="8" t="s">
        <v>12</v>
      </c>
      <c r="C209" s="8" t="s">
        <v>13</v>
      </c>
      <c r="D209" s="8">
        <v>8035</v>
      </c>
      <c r="E209" s="8" t="s">
        <v>277</v>
      </c>
      <c r="F209" s="9">
        <v>810000321</v>
      </c>
      <c r="G209" s="10" t="s">
        <v>278</v>
      </c>
      <c r="H209" s="3">
        <v>6850</v>
      </c>
      <c r="I209" s="4">
        <v>1370</v>
      </c>
      <c r="J209" s="5">
        <v>899</v>
      </c>
      <c r="K209" s="6">
        <v>18</v>
      </c>
      <c r="L209" s="6">
        <f t="shared" si="4"/>
        <v>1060.82</v>
      </c>
      <c r="M209" s="13">
        <f>L209*5</f>
        <v>5304.0999999999995</v>
      </c>
      <c r="N209" s="14"/>
    </row>
    <row r="210" spans="1:14" ht="15.75" customHeight="1" x14ac:dyDescent="0.35">
      <c r="A210" s="11">
        <v>205</v>
      </c>
      <c r="B210" s="8" t="s">
        <v>12</v>
      </c>
      <c r="C210" s="8" t="s">
        <v>13</v>
      </c>
      <c r="D210" s="8">
        <v>8035</v>
      </c>
      <c r="E210" s="8" t="s">
        <v>277</v>
      </c>
      <c r="F210" s="9">
        <v>810000318</v>
      </c>
      <c r="G210" s="10" t="s">
        <v>279</v>
      </c>
      <c r="H210" s="3">
        <v>1410</v>
      </c>
      <c r="I210" s="4">
        <v>1410</v>
      </c>
      <c r="J210" s="5">
        <v>910</v>
      </c>
      <c r="K210" s="6">
        <v>18</v>
      </c>
      <c r="L210" s="6">
        <f t="shared" si="4"/>
        <v>1073.8</v>
      </c>
      <c r="M210" s="13">
        <f>L210/1</f>
        <v>1073.8</v>
      </c>
      <c r="N210" s="14"/>
    </row>
    <row r="211" spans="1:14" ht="15.75" customHeight="1" x14ac:dyDescent="0.35">
      <c r="A211" s="11">
        <v>206</v>
      </c>
      <c r="B211" s="8" t="s">
        <v>12</v>
      </c>
      <c r="C211" s="8" t="s">
        <v>13</v>
      </c>
      <c r="D211" s="8">
        <v>8035</v>
      </c>
      <c r="E211" s="8" t="s">
        <v>277</v>
      </c>
      <c r="F211" s="9">
        <v>810000322</v>
      </c>
      <c r="G211" s="10" t="s">
        <v>280</v>
      </c>
      <c r="H211" s="3">
        <v>751</v>
      </c>
      <c r="I211" s="4">
        <v>1502</v>
      </c>
      <c r="J211" s="5">
        <v>937</v>
      </c>
      <c r="K211" s="6">
        <v>18</v>
      </c>
      <c r="L211" s="6">
        <f t="shared" si="4"/>
        <v>1105.6599999999999</v>
      </c>
      <c r="M211" s="13">
        <f>L211/2</f>
        <v>552.82999999999993</v>
      </c>
      <c r="N211" s="14"/>
    </row>
    <row r="212" spans="1:14" ht="15.75" customHeight="1" x14ac:dyDescent="0.35">
      <c r="A212" s="11">
        <v>207</v>
      </c>
      <c r="B212" s="8" t="s">
        <v>12</v>
      </c>
      <c r="C212" s="8" t="s">
        <v>13</v>
      </c>
      <c r="D212" s="8">
        <v>8035</v>
      </c>
      <c r="E212" s="8" t="s">
        <v>277</v>
      </c>
      <c r="F212" s="9">
        <v>810000320</v>
      </c>
      <c r="G212" s="10" t="s">
        <v>281</v>
      </c>
      <c r="H212" s="3">
        <v>401</v>
      </c>
      <c r="I212" s="4">
        <v>1604</v>
      </c>
      <c r="J212" s="5">
        <v>979</v>
      </c>
      <c r="K212" s="6">
        <v>18</v>
      </c>
      <c r="L212" s="6">
        <f t="shared" si="4"/>
        <v>1155.22</v>
      </c>
      <c r="M212" s="13">
        <f>L212/4</f>
        <v>288.80500000000001</v>
      </c>
      <c r="N212" s="14"/>
    </row>
    <row r="213" spans="1:14" ht="15.75" customHeight="1" x14ac:dyDescent="0.35">
      <c r="A213" s="11">
        <v>208</v>
      </c>
      <c r="B213" s="8" t="s">
        <v>12</v>
      </c>
      <c r="C213" s="8" t="s">
        <v>13</v>
      </c>
      <c r="D213" s="8">
        <v>8035</v>
      </c>
      <c r="E213" s="8" t="s">
        <v>277</v>
      </c>
      <c r="F213" s="9">
        <v>810000319</v>
      </c>
      <c r="G213" s="10" t="s">
        <v>282</v>
      </c>
      <c r="H213" s="3">
        <v>181</v>
      </c>
      <c r="I213" s="4">
        <v>1810</v>
      </c>
      <c r="J213" s="5">
        <v>1053</v>
      </c>
      <c r="K213" s="6">
        <v>18</v>
      </c>
      <c r="L213" s="6">
        <f t="shared" si="4"/>
        <v>1242.54</v>
      </c>
      <c r="M213" s="13">
        <f>L213/10</f>
        <v>124.25399999999999</v>
      </c>
      <c r="N213" s="14"/>
    </row>
    <row r="214" spans="1:14" ht="15.75" customHeight="1" x14ac:dyDescent="0.35">
      <c r="A214" s="11">
        <v>209</v>
      </c>
      <c r="B214" s="8" t="s">
        <v>12</v>
      </c>
      <c r="C214" s="8" t="s">
        <v>13</v>
      </c>
      <c r="D214" s="8">
        <v>8521</v>
      </c>
      <c r="E214" s="8" t="s">
        <v>283</v>
      </c>
      <c r="F214" s="9">
        <v>810001342</v>
      </c>
      <c r="G214" s="10" t="s">
        <v>284</v>
      </c>
      <c r="H214" s="3">
        <v>10250</v>
      </c>
      <c r="I214" s="4">
        <v>2050</v>
      </c>
      <c r="J214" s="5">
        <v>1058</v>
      </c>
      <c r="K214" s="6">
        <v>18</v>
      </c>
      <c r="L214" s="6">
        <f t="shared" si="4"/>
        <v>1248.4399999999998</v>
      </c>
      <c r="M214" s="13">
        <f>L214*5</f>
        <v>6242.1999999999989</v>
      </c>
      <c r="N214" s="14"/>
    </row>
    <row r="215" spans="1:14" ht="15.75" customHeight="1" x14ac:dyDescent="0.35">
      <c r="A215" s="11">
        <v>210</v>
      </c>
      <c r="B215" s="8" t="s">
        <v>12</v>
      </c>
      <c r="C215" s="8" t="s">
        <v>13</v>
      </c>
      <c r="D215" s="8">
        <v>8521</v>
      </c>
      <c r="E215" s="8" t="s">
        <v>283</v>
      </c>
      <c r="F215" s="9">
        <v>810001256</v>
      </c>
      <c r="G215" s="10" t="s">
        <v>285</v>
      </c>
      <c r="H215" s="3">
        <v>2125</v>
      </c>
      <c r="I215" s="4">
        <v>2125</v>
      </c>
      <c r="J215" s="5">
        <v>1085</v>
      </c>
      <c r="K215" s="6">
        <v>18</v>
      </c>
      <c r="L215" s="6">
        <f t="shared" si="4"/>
        <v>1280.3</v>
      </c>
      <c r="M215" s="13">
        <f>L215/1</f>
        <v>1280.3</v>
      </c>
      <c r="N215" s="14"/>
    </row>
    <row r="216" spans="1:14" ht="15.75" customHeight="1" x14ac:dyDescent="0.35">
      <c r="A216" s="11">
        <v>211</v>
      </c>
      <c r="B216" s="8" t="s">
        <v>12</v>
      </c>
      <c r="C216" s="8" t="s">
        <v>13</v>
      </c>
      <c r="D216" s="8">
        <v>8521</v>
      </c>
      <c r="E216" s="8" t="s">
        <v>283</v>
      </c>
      <c r="F216" s="9">
        <v>810001257</v>
      </c>
      <c r="G216" s="10" t="s">
        <v>286</v>
      </c>
      <c r="H216" s="3">
        <v>1125</v>
      </c>
      <c r="I216" s="4">
        <v>2250</v>
      </c>
      <c r="J216" s="5">
        <v>1138</v>
      </c>
      <c r="K216" s="6">
        <v>18</v>
      </c>
      <c r="L216" s="6">
        <f t="shared" si="4"/>
        <v>1342.84</v>
      </c>
      <c r="M216" s="13">
        <f>L216/2</f>
        <v>671.42</v>
      </c>
      <c r="N216" s="14"/>
    </row>
    <row r="217" spans="1:14" ht="15.75" customHeight="1" x14ac:dyDescent="0.35">
      <c r="A217" s="11">
        <v>212</v>
      </c>
      <c r="B217" s="8" t="s">
        <v>12</v>
      </c>
      <c r="C217" s="8" t="s">
        <v>13</v>
      </c>
      <c r="D217" s="8">
        <v>8521</v>
      </c>
      <c r="E217" s="8" t="s">
        <v>283</v>
      </c>
      <c r="F217" s="9">
        <v>810001258</v>
      </c>
      <c r="G217" s="10" t="s">
        <v>287</v>
      </c>
      <c r="H217" s="3">
        <v>625</v>
      </c>
      <c r="I217" s="4">
        <v>2500</v>
      </c>
      <c r="J217" s="5">
        <v>1243</v>
      </c>
      <c r="K217" s="6">
        <v>18</v>
      </c>
      <c r="L217" s="6">
        <f t="shared" si="4"/>
        <v>1466.74</v>
      </c>
      <c r="M217" s="13">
        <f>L217/4</f>
        <v>366.685</v>
      </c>
      <c r="N217" s="14"/>
    </row>
    <row r="218" spans="1:14" ht="15.75" customHeight="1" x14ac:dyDescent="0.35">
      <c r="A218" s="11">
        <v>213</v>
      </c>
      <c r="B218" s="8" t="s">
        <v>12</v>
      </c>
      <c r="C218" s="8" t="s">
        <v>13</v>
      </c>
      <c r="D218" s="8">
        <v>8521</v>
      </c>
      <c r="E218" s="8" t="s">
        <v>283</v>
      </c>
      <c r="F218" s="9">
        <v>810001259</v>
      </c>
      <c r="G218" s="10" t="s">
        <v>288</v>
      </c>
      <c r="H218" s="3">
        <v>305</v>
      </c>
      <c r="I218" s="4">
        <v>3050</v>
      </c>
      <c r="J218" s="5">
        <v>1402</v>
      </c>
      <c r="K218" s="6">
        <v>18</v>
      </c>
      <c r="L218" s="6">
        <f t="shared" si="4"/>
        <v>1654.36</v>
      </c>
      <c r="M218" s="13">
        <f>L218/10</f>
        <v>165.43599999999998</v>
      </c>
      <c r="N218" s="14"/>
    </row>
    <row r="219" spans="1:14" ht="15.75" customHeight="1" x14ac:dyDescent="0.35">
      <c r="A219" s="11">
        <v>214</v>
      </c>
      <c r="B219" s="8" t="s">
        <v>19</v>
      </c>
      <c r="C219" s="8" t="s">
        <v>45</v>
      </c>
      <c r="D219" s="8">
        <v>8438</v>
      </c>
      <c r="E219" s="8" t="s">
        <v>289</v>
      </c>
      <c r="F219" s="9">
        <v>810001189</v>
      </c>
      <c r="G219" s="10" t="s">
        <v>290</v>
      </c>
      <c r="H219" s="3">
        <v>3901</v>
      </c>
      <c r="I219" s="4">
        <v>780.2</v>
      </c>
      <c r="J219" s="5">
        <v>386</v>
      </c>
      <c r="K219" s="6">
        <v>18</v>
      </c>
      <c r="L219" s="6">
        <f t="shared" si="4"/>
        <v>455.47999999999996</v>
      </c>
      <c r="M219" s="13">
        <f>L219*5</f>
        <v>2277.3999999999996</v>
      </c>
      <c r="N219" s="14"/>
    </row>
    <row r="220" spans="1:14" ht="15.75" customHeight="1" x14ac:dyDescent="0.35">
      <c r="A220" s="11">
        <v>215</v>
      </c>
      <c r="B220" s="8" t="s">
        <v>19</v>
      </c>
      <c r="C220" s="8" t="s">
        <v>45</v>
      </c>
      <c r="D220" s="8">
        <v>8438</v>
      </c>
      <c r="E220" s="8" t="s">
        <v>289</v>
      </c>
      <c r="F220" s="9">
        <v>810000986</v>
      </c>
      <c r="G220" s="10" t="s">
        <v>291</v>
      </c>
      <c r="H220" s="3">
        <v>811</v>
      </c>
      <c r="I220" s="4">
        <v>811</v>
      </c>
      <c r="J220" s="5">
        <v>397</v>
      </c>
      <c r="K220" s="6">
        <v>18</v>
      </c>
      <c r="L220" s="6">
        <f t="shared" si="4"/>
        <v>468.46</v>
      </c>
      <c r="M220" s="13">
        <f>L220/1</f>
        <v>468.46</v>
      </c>
      <c r="N220" s="14"/>
    </row>
    <row r="221" spans="1:14" ht="15.75" customHeight="1" x14ac:dyDescent="0.35">
      <c r="A221" s="11">
        <v>216</v>
      </c>
      <c r="B221" s="8" t="s">
        <v>19</v>
      </c>
      <c r="C221" s="8" t="s">
        <v>45</v>
      </c>
      <c r="D221" s="8">
        <v>8438</v>
      </c>
      <c r="E221" s="8" t="s">
        <v>289</v>
      </c>
      <c r="F221" s="9">
        <v>810000987</v>
      </c>
      <c r="G221" s="10" t="s">
        <v>292</v>
      </c>
      <c r="H221" s="3">
        <v>441</v>
      </c>
      <c r="I221" s="4">
        <v>882</v>
      </c>
      <c r="J221" s="5">
        <v>418</v>
      </c>
      <c r="K221" s="6">
        <v>18</v>
      </c>
      <c r="L221" s="6">
        <f t="shared" si="4"/>
        <v>493.23999999999995</v>
      </c>
      <c r="M221" s="13">
        <f>L221/2</f>
        <v>246.61999999999998</v>
      </c>
      <c r="N221" s="14"/>
    </row>
    <row r="222" spans="1:14" ht="15.75" customHeight="1" x14ac:dyDescent="0.35">
      <c r="A222" s="11">
        <v>217</v>
      </c>
      <c r="B222" s="8" t="s">
        <v>19</v>
      </c>
      <c r="C222" s="8" t="s">
        <v>45</v>
      </c>
      <c r="D222" s="8">
        <v>8438</v>
      </c>
      <c r="E222" s="8" t="s">
        <v>289</v>
      </c>
      <c r="F222" s="9">
        <v>810000988</v>
      </c>
      <c r="G222" s="10" t="s">
        <v>293</v>
      </c>
      <c r="H222" s="3">
        <v>251</v>
      </c>
      <c r="I222" s="4">
        <v>1004</v>
      </c>
      <c r="J222" s="5">
        <v>455</v>
      </c>
      <c r="K222" s="6">
        <v>18</v>
      </c>
      <c r="L222" s="6">
        <f t="shared" si="4"/>
        <v>536.9</v>
      </c>
      <c r="M222" s="13">
        <f>L222/4</f>
        <v>134.22499999999999</v>
      </c>
      <c r="N222" s="14"/>
    </row>
    <row r="223" spans="1:14" ht="15.75" customHeight="1" x14ac:dyDescent="0.35">
      <c r="A223" s="11">
        <v>218</v>
      </c>
      <c r="B223" s="8" t="s">
        <v>19</v>
      </c>
      <c r="C223" s="8" t="s">
        <v>45</v>
      </c>
      <c r="D223" s="8">
        <v>8438</v>
      </c>
      <c r="E223" s="8" t="s">
        <v>289</v>
      </c>
      <c r="F223" s="9">
        <v>810000989</v>
      </c>
      <c r="G223" s="10" t="s">
        <v>294</v>
      </c>
      <c r="H223" s="3">
        <v>121</v>
      </c>
      <c r="I223" s="4">
        <v>1210</v>
      </c>
      <c r="J223" s="5">
        <v>524</v>
      </c>
      <c r="K223" s="6">
        <v>18</v>
      </c>
      <c r="L223" s="6">
        <f t="shared" si="4"/>
        <v>618.31999999999994</v>
      </c>
      <c r="M223" s="13">
        <f>L223/10</f>
        <v>61.831999999999994</v>
      </c>
      <c r="N223" s="14"/>
    </row>
    <row r="224" spans="1:14" ht="15.75" customHeight="1" x14ac:dyDescent="0.35">
      <c r="A224" s="11">
        <v>219</v>
      </c>
      <c r="B224" s="8" t="s">
        <v>44</v>
      </c>
      <c r="C224" s="8" t="s">
        <v>45</v>
      </c>
      <c r="D224" s="8">
        <v>8515</v>
      </c>
      <c r="E224" s="8" t="s">
        <v>295</v>
      </c>
      <c r="F224" s="9">
        <v>810001534</v>
      </c>
      <c r="G224" s="10" t="s">
        <v>296</v>
      </c>
      <c r="H224" s="3">
        <v>2855</v>
      </c>
      <c r="I224" s="4">
        <v>28550</v>
      </c>
      <c r="J224" s="5">
        <v>15238</v>
      </c>
      <c r="K224" s="6">
        <v>18</v>
      </c>
      <c r="L224" s="6">
        <f t="shared" si="4"/>
        <v>17980.84</v>
      </c>
      <c r="M224" s="13">
        <f>L224/10</f>
        <v>1798.0840000000001</v>
      </c>
      <c r="N224" s="14"/>
    </row>
    <row r="225" spans="1:14" ht="15.75" customHeight="1" x14ac:dyDescent="0.35">
      <c r="A225" s="11">
        <v>220</v>
      </c>
      <c r="B225" s="8" t="s">
        <v>44</v>
      </c>
      <c r="C225" s="8" t="s">
        <v>45</v>
      </c>
      <c r="D225" s="8">
        <v>8515</v>
      </c>
      <c r="E225" s="8" t="s">
        <v>295</v>
      </c>
      <c r="F225" s="9">
        <v>810001242</v>
      </c>
      <c r="G225" s="10" t="s">
        <v>297</v>
      </c>
      <c r="H225" s="3">
        <v>1755</v>
      </c>
      <c r="I225" s="4">
        <v>29250</v>
      </c>
      <c r="J225" s="5">
        <v>15344</v>
      </c>
      <c r="K225" s="6">
        <v>18</v>
      </c>
      <c r="L225" s="6">
        <f t="shared" si="4"/>
        <v>18105.919999999998</v>
      </c>
      <c r="M225" s="13">
        <f>L225/1000*60</f>
        <v>1086.3552</v>
      </c>
      <c r="N225" s="14"/>
    </row>
    <row r="226" spans="1:14" ht="15.75" customHeight="1" x14ac:dyDescent="0.35">
      <c r="A226" s="11">
        <v>221</v>
      </c>
      <c r="B226" s="8" t="s">
        <v>44</v>
      </c>
      <c r="C226" s="8" t="s">
        <v>45</v>
      </c>
      <c r="D226" s="8">
        <v>8515</v>
      </c>
      <c r="E226" s="8" t="s">
        <v>295</v>
      </c>
      <c r="F226" s="9">
        <v>810001243</v>
      </c>
      <c r="G226" s="10" t="s">
        <v>298</v>
      </c>
      <c r="H226" s="3">
        <v>905.00009999999997</v>
      </c>
      <c r="I226" s="4">
        <v>30166.67</v>
      </c>
      <c r="J226" s="5">
        <v>15450</v>
      </c>
      <c r="K226" s="6">
        <v>18</v>
      </c>
      <c r="L226" s="6">
        <f t="shared" si="4"/>
        <v>18231</v>
      </c>
      <c r="M226" s="13">
        <f>L226/1000*30</f>
        <v>546.93000000000006</v>
      </c>
      <c r="N226" s="14"/>
    </row>
    <row r="227" spans="1:14" ht="15.75" customHeight="1" x14ac:dyDescent="0.35">
      <c r="A227" s="11">
        <v>222</v>
      </c>
      <c r="B227" s="8" t="s">
        <v>44</v>
      </c>
      <c r="C227" s="8" t="s">
        <v>45</v>
      </c>
      <c r="D227" s="8">
        <v>8515</v>
      </c>
      <c r="E227" s="8" t="s">
        <v>295</v>
      </c>
      <c r="F227" s="9">
        <v>810001244</v>
      </c>
      <c r="G227" s="10" t="s">
        <v>299</v>
      </c>
      <c r="H227" s="3">
        <v>175</v>
      </c>
      <c r="I227" s="4">
        <v>35000</v>
      </c>
      <c r="J227" s="5">
        <v>16772</v>
      </c>
      <c r="K227" s="6">
        <v>18</v>
      </c>
      <c r="L227" s="6">
        <f t="shared" si="4"/>
        <v>19790.96</v>
      </c>
      <c r="M227" s="13">
        <f>L227/1000*5</f>
        <v>98.954799999999992</v>
      </c>
      <c r="N227" s="14"/>
    </row>
    <row r="228" spans="1:14" ht="15.75" customHeight="1" x14ac:dyDescent="0.35">
      <c r="A228" s="11">
        <v>223</v>
      </c>
      <c r="B228" s="8" t="s">
        <v>44</v>
      </c>
      <c r="C228" s="8" t="s">
        <v>45</v>
      </c>
      <c r="D228" s="8">
        <v>8515</v>
      </c>
      <c r="E228" s="8" t="s">
        <v>295</v>
      </c>
      <c r="F228" s="9">
        <v>810001245</v>
      </c>
      <c r="G228" s="10" t="s">
        <v>300</v>
      </c>
      <c r="H228" s="3">
        <v>125.00000999999999</v>
      </c>
      <c r="I228" s="4">
        <v>41666.67</v>
      </c>
      <c r="J228" s="5">
        <v>18095</v>
      </c>
      <c r="K228" s="6">
        <v>18</v>
      </c>
      <c r="L228" s="6">
        <f t="shared" si="4"/>
        <v>21352.1</v>
      </c>
      <c r="M228" s="13">
        <f>L228/1000*3</f>
        <v>64.056299999999993</v>
      </c>
      <c r="N228" s="14"/>
    </row>
    <row r="229" spans="1:14" ht="15.75" customHeight="1" x14ac:dyDescent="0.35">
      <c r="A229" s="11">
        <v>224</v>
      </c>
      <c r="B229" s="8" t="s">
        <v>19</v>
      </c>
      <c r="C229" s="8" t="s">
        <v>13</v>
      </c>
      <c r="D229" s="8">
        <v>8037</v>
      </c>
      <c r="E229" s="8" t="s">
        <v>301</v>
      </c>
      <c r="F229" s="9">
        <v>810000976</v>
      </c>
      <c r="G229" s="10" t="s">
        <v>302</v>
      </c>
      <c r="H229" s="3">
        <v>4800</v>
      </c>
      <c r="I229" s="4">
        <v>4800</v>
      </c>
      <c r="J229" s="5">
        <v>1852</v>
      </c>
      <c r="K229" s="6">
        <v>18</v>
      </c>
      <c r="L229" s="6">
        <f t="shared" si="4"/>
        <v>2185.3599999999997</v>
      </c>
      <c r="M229" s="13">
        <f>L229/1</f>
        <v>2185.3599999999997</v>
      </c>
      <c r="N229" s="14"/>
    </row>
    <row r="230" spans="1:14" ht="15.75" customHeight="1" x14ac:dyDescent="0.35">
      <c r="A230" s="11">
        <v>225</v>
      </c>
      <c r="B230" s="8" t="s">
        <v>19</v>
      </c>
      <c r="C230" s="8" t="s">
        <v>13</v>
      </c>
      <c r="D230" s="8">
        <v>8037</v>
      </c>
      <c r="E230" s="8" t="s">
        <v>301</v>
      </c>
      <c r="F230" s="9">
        <v>810000212</v>
      </c>
      <c r="G230" s="10" t="s">
        <v>303</v>
      </c>
      <c r="H230" s="3">
        <v>2500</v>
      </c>
      <c r="I230" s="4">
        <v>5000</v>
      </c>
      <c r="J230" s="5">
        <v>1894</v>
      </c>
      <c r="K230" s="6">
        <v>18</v>
      </c>
      <c r="L230" s="6">
        <f t="shared" si="4"/>
        <v>2234.92</v>
      </c>
      <c r="M230" s="13">
        <f>L230/2</f>
        <v>1117.46</v>
      </c>
      <c r="N230" s="14"/>
    </row>
    <row r="231" spans="1:14" ht="15.75" customHeight="1" x14ac:dyDescent="0.35">
      <c r="A231" s="11">
        <v>226</v>
      </c>
      <c r="B231" s="8" t="s">
        <v>19</v>
      </c>
      <c r="C231" s="8" t="s">
        <v>13</v>
      </c>
      <c r="D231" s="8">
        <v>8037</v>
      </c>
      <c r="E231" s="8" t="s">
        <v>301</v>
      </c>
      <c r="F231" s="9">
        <v>810000210</v>
      </c>
      <c r="G231" s="10" t="s">
        <v>304</v>
      </c>
      <c r="H231" s="3">
        <v>1300</v>
      </c>
      <c r="I231" s="4">
        <v>5200</v>
      </c>
      <c r="J231" s="5">
        <v>1952</v>
      </c>
      <c r="K231" s="6">
        <v>18</v>
      </c>
      <c r="L231" s="6">
        <f t="shared" si="4"/>
        <v>2303.3599999999997</v>
      </c>
      <c r="M231" s="13">
        <f>L231/4</f>
        <v>575.83999999999992</v>
      </c>
      <c r="N231" s="14"/>
    </row>
    <row r="232" spans="1:14" ht="15.75" customHeight="1" x14ac:dyDescent="0.35">
      <c r="A232" s="11">
        <v>227</v>
      </c>
      <c r="B232" s="8" t="s">
        <v>19</v>
      </c>
      <c r="C232" s="8" t="s">
        <v>13</v>
      </c>
      <c r="D232" s="8">
        <v>8037</v>
      </c>
      <c r="E232" s="8" t="s">
        <v>301</v>
      </c>
      <c r="F232" s="9">
        <v>810000209</v>
      </c>
      <c r="G232" s="10" t="s">
        <v>305</v>
      </c>
      <c r="H232" s="3">
        <v>550</v>
      </c>
      <c r="I232" s="4">
        <v>5500</v>
      </c>
      <c r="J232" s="5">
        <v>2037</v>
      </c>
      <c r="K232" s="6">
        <v>18</v>
      </c>
      <c r="L232" s="6">
        <f t="shared" si="4"/>
        <v>2403.66</v>
      </c>
      <c r="M232" s="13">
        <f>L232/10</f>
        <v>240.36599999999999</v>
      </c>
      <c r="N232" s="14"/>
    </row>
    <row r="233" spans="1:14" ht="15.75" customHeight="1" x14ac:dyDescent="0.35">
      <c r="A233" s="11">
        <v>228</v>
      </c>
      <c r="B233" s="8" t="s">
        <v>19</v>
      </c>
      <c r="C233" s="8" t="s">
        <v>13</v>
      </c>
      <c r="D233" s="8">
        <v>8037</v>
      </c>
      <c r="E233" s="8" t="s">
        <v>301</v>
      </c>
      <c r="F233" s="9">
        <v>810000211</v>
      </c>
      <c r="G233" s="10" t="s">
        <v>306</v>
      </c>
      <c r="H233" s="3">
        <v>300</v>
      </c>
      <c r="I233" s="4">
        <v>6000</v>
      </c>
      <c r="J233" s="5">
        <v>2159</v>
      </c>
      <c r="K233" s="6">
        <v>18</v>
      </c>
      <c r="L233" s="6">
        <f t="shared" si="4"/>
        <v>2547.62</v>
      </c>
      <c r="M233" s="13">
        <f>L233/20</f>
        <v>127.381</v>
      </c>
      <c r="N233" s="14"/>
    </row>
    <row r="234" spans="1:14" ht="15.75" customHeight="1" x14ac:dyDescent="0.35">
      <c r="A234" s="11">
        <v>229</v>
      </c>
      <c r="B234" s="8" t="s">
        <v>19</v>
      </c>
      <c r="C234" s="8" t="s">
        <v>23</v>
      </c>
      <c r="D234" s="8">
        <v>8613</v>
      </c>
      <c r="E234" s="8" t="s">
        <v>307</v>
      </c>
      <c r="F234" s="9">
        <v>810001552</v>
      </c>
      <c r="G234" s="10" t="s">
        <v>308</v>
      </c>
      <c r="H234" s="3">
        <v>5000</v>
      </c>
      <c r="I234" s="4">
        <v>5000</v>
      </c>
      <c r="J234" s="5">
        <v>2300</v>
      </c>
      <c r="K234" s="6">
        <v>18</v>
      </c>
      <c r="L234" s="6">
        <f t="shared" si="4"/>
        <v>2714</v>
      </c>
      <c r="M234" s="13">
        <f>L234/1</f>
        <v>2714</v>
      </c>
      <c r="N234" s="14" t="s">
        <v>593</v>
      </c>
    </row>
    <row r="235" spans="1:14" ht="15.75" customHeight="1" x14ac:dyDescent="0.35">
      <c r="A235" s="11">
        <v>230</v>
      </c>
      <c r="B235" s="8" t="s">
        <v>19</v>
      </c>
      <c r="C235" s="8" t="s">
        <v>23</v>
      </c>
      <c r="D235" s="8">
        <v>8613</v>
      </c>
      <c r="E235" s="8" t="s">
        <v>307</v>
      </c>
      <c r="F235" s="9">
        <v>810001553</v>
      </c>
      <c r="G235" s="10" t="s">
        <v>309</v>
      </c>
      <c r="H235" s="3">
        <v>2600</v>
      </c>
      <c r="I235" s="4">
        <v>5200</v>
      </c>
      <c r="J235" s="5">
        <v>2350</v>
      </c>
      <c r="K235" s="6">
        <v>18</v>
      </c>
      <c r="L235" s="6">
        <f t="shared" si="4"/>
        <v>2773</v>
      </c>
      <c r="M235" s="13">
        <f>L235/2</f>
        <v>1386.5</v>
      </c>
      <c r="N235" s="14" t="s">
        <v>593</v>
      </c>
    </row>
    <row r="236" spans="1:14" ht="15.75" customHeight="1" x14ac:dyDescent="0.35">
      <c r="A236" s="11">
        <v>231</v>
      </c>
      <c r="B236" s="8" t="s">
        <v>19</v>
      </c>
      <c r="C236" s="8" t="s">
        <v>23</v>
      </c>
      <c r="D236" s="8">
        <v>8613</v>
      </c>
      <c r="E236" s="8" t="s">
        <v>307</v>
      </c>
      <c r="F236" s="9">
        <v>810001554</v>
      </c>
      <c r="G236" s="10" t="s">
        <v>310</v>
      </c>
      <c r="H236" s="3">
        <v>1100</v>
      </c>
      <c r="I236" s="4">
        <v>5500</v>
      </c>
      <c r="J236" s="5">
        <v>2425</v>
      </c>
      <c r="K236" s="6">
        <v>18</v>
      </c>
      <c r="L236" s="6">
        <f t="shared" si="4"/>
        <v>2861.5</v>
      </c>
      <c r="M236" s="13">
        <f>L236/5</f>
        <v>572.29999999999995</v>
      </c>
      <c r="N236" s="14" t="s">
        <v>593</v>
      </c>
    </row>
    <row r="237" spans="1:14" ht="15.75" customHeight="1" x14ac:dyDescent="0.35">
      <c r="A237" s="11">
        <v>232</v>
      </c>
      <c r="B237" s="8" t="s">
        <v>19</v>
      </c>
      <c r="C237" s="8" t="s">
        <v>23</v>
      </c>
      <c r="D237" s="8">
        <v>8613</v>
      </c>
      <c r="E237" s="8" t="s">
        <v>307</v>
      </c>
      <c r="F237" s="9">
        <v>810001555</v>
      </c>
      <c r="G237" s="10" t="s">
        <v>311</v>
      </c>
      <c r="H237" s="3">
        <v>600</v>
      </c>
      <c r="I237" s="4">
        <v>6000</v>
      </c>
      <c r="J237" s="5">
        <v>2550</v>
      </c>
      <c r="K237" s="6">
        <v>18</v>
      </c>
      <c r="L237" s="6">
        <f t="shared" si="4"/>
        <v>3009</v>
      </c>
      <c r="M237" s="13">
        <f>L237/10</f>
        <v>300.89999999999998</v>
      </c>
      <c r="N237" s="14" t="s">
        <v>593</v>
      </c>
    </row>
    <row r="238" spans="1:14" ht="15.75" customHeight="1" x14ac:dyDescent="0.35">
      <c r="A238" s="11">
        <v>233</v>
      </c>
      <c r="B238" s="8" t="s">
        <v>104</v>
      </c>
      <c r="C238" s="8" t="s">
        <v>20</v>
      </c>
      <c r="D238" s="8">
        <v>8550</v>
      </c>
      <c r="E238" s="8" t="s">
        <v>312</v>
      </c>
      <c r="F238" s="9">
        <v>810001356</v>
      </c>
      <c r="G238" s="10" t="s">
        <v>313</v>
      </c>
      <c r="H238" s="3">
        <v>3180</v>
      </c>
      <c r="I238" s="4">
        <v>5300</v>
      </c>
      <c r="J238" s="5">
        <v>2222</v>
      </c>
      <c r="K238" s="6">
        <v>18</v>
      </c>
      <c r="L238" s="6">
        <f t="shared" si="4"/>
        <v>2621.96</v>
      </c>
      <c r="M238" s="13">
        <f>L238/1000*600</f>
        <v>1573.1759999999999</v>
      </c>
      <c r="N238" s="14"/>
    </row>
    <row r="239" spans="1:14" ht="15.75" customHeight="1" x14ac:dyDescent="0.35">
      <c r="A239" s="11">
        <v>234</v>
      </c>
      <c r="B239" s="8" t="s">
        <v>104</v>
      </c>
      <c r="C239" s="8" t="s">
        <v>20</v>
      </c>
      <c r="D239" s="8">
        <v>8550</v>
      </c>
      <c r="E239" s="8" t="s">
        <v>312</v>
      </c>
      <c r="F239" s="9">
        <v>810001357</v>
      </c>
      <c r="G239" s="10" t="s">
        <v>314</v>
      </c>
      <c r="H239" s="3">
        <v>1680</v>
      </c>
      <c r="I239" s="4">
        <v>5600</v>
      </c>
      <c r="J239" s="5">
        <v>2302</v>
      </c>
      <c r="K239" s="6">
        <v>18</v>
      </c>
      <c r="L239" s="6">
        <f t="shared" si="4"/>
        <v>2716.3599999999997</v>
      </c>
      <c r="M239" s="13">
        <f>L239/1000*300</f>
        <v>814.90800000000002</v>
      </c>
      <c r="N239" s="14"/>
    </row>
    <row r="240" spans="1:14" x14ac:dyDescent="0.35">
      <c r="A240" s="11">
        <v>235</v>
      </c>
      <c r="B240" s="8" t="s">
        <v>31</v>
      </c>
      <c r="C240" s="8" t="s">
        <v>20</v>
      </c>
      <c r="D240" s="8">
        <v>8038</v>
      </c>
      <c r="E240" s="8" t="s">
        <v>315</v>
      </c>
      <c r="F240" s="9">
        <v>810000536</v>
      </c>
      <c r="G240" s="10" t="s">
        <v>316</v>
      </c>
      <c r="H240" s="3">
        <v>5500</v>
      </c>
      <c r="I240" s="4">
        <v>1100</v>
      </c>
      <c r="J240" s="5">
        <v>503</v>
      </c>
      <c r="K240" s="6">
        <v>18</v>
      </c>
      <c r="L240" s="6">
        <f t="shared" si="4"/>
        <v>593.54</v>
      </c>
      <c r="M240" s="13">
        <f>L240*5</f>
        <v>2967.7</v>
      </c>
      <c r="N240" s="14"/>
    </row>
    <row r="241" spans="1:14" x14ac:dyDescent="0.35">
      <c r="A241" s="11">
        <v>236</v>
      </c>
      <c r="B241" s="8" t="s">
        <v>31</v>
      </c>
      <c r="C241" s="8" t="s">
        <v>20</v>
      </c>
      <c r="D241" s="8">
        <v>8038</v>
      </c>
      <c r="E241" s="8" t="s">
        <v>315</v>
      </c>
      <c r="F241" s="9">
        <v>810000535</v>
      </c>
      <c r="G241" s="10" t="s">
        <v>317</v>
      </c>
      <c r="H241" s="3">
        <v>1100</v>
      </c>
      <c r="I241" s="4">
        <v>1100</v>
      </c>
      <c r="J241" s="5">
        <v>508</v>
      </c>
      <c r="K241" s="6">
        <v>18</v>
      </c>
      <c r="L241" s="6">
        <f t="shared" si="4"/>
        <v>599.43999999999994</v>
      </c>
      <c r="M241" s="13">
        <f>L241/1</f>
        <v>599.43999999999994</v>
      </c>
      <c r="N241" s="14"/>
    </row>
    <row r="242" spans="1:14" x14ac:dyDescent="0.35">
      <c r="A242" s="11">
        <v>237</v>
      </c>
      <c r="B242" s="8" t="s">
        <v>31</v>
      </c>
      <c r="C242" s="8" t="s">
        <v>20</v>
      </c>
      <c r="D242" s="8">
        <v>8038</v>
      </c>
      <c r="E242" s="8" t="s">
        <v>315</v>
      </c>
      <c r="F242" s="9">
        <v>810000537</v>
      </c>
      <c r="G242" s="10" t="s">
        <v>318</v>
      </c>
      <c r="H242" s="3">
        <v>600</v>
      </c>
      <c r="I242" s="4">
        <v>1200</v>
      </c>
      <c r="J242" s="5">
        <v>524</v>
      </c>
      <c r="K242" s="6">
        <v>18</v>
      </c>
      <c r="L242" s="6">
        <f t="shared" si="4"/>
        <v>618.31999999999994</v>
      </c>
      <c r="M242" s="13">
        <f>L242/2</f>
        <v>309.15999999999997</v>
      </c>
      <c r="N242" s="14"/>
    </row>
    <row r="243" spans="1:14" x14ac:dyDescent="0.35">
      <c r="A243" s="11">
        <v>238</v>
      </c>
      <c r="B243" s="8" t="s">
        <v>31</v>
      </c>
      <c r="C243" s="8" t="s">
        <v>20</v>
      </c>
      <c r="D243" s="8">
        <v>8038</v>
      </c>
      <c r="E243" s="8" t="s">
        <v>315</v>
      </c>
      <c r="F243" s="9">
        <v>810000533</v>
      </c>
      <c r="G243" s="10" t="s">
        <v>319</v>
      </c>
      <c r="H243" s="3">
        <v>325</v>
      </c>
      <c r="I243" s="4">
        <v>1300</v>
      </c>
      <c r="J243" s="5">
        <v>555</v>
      </c>
      <c r="K243" s="6">
        <v>18</v>
      </c>
      <c r="L243" s="6">
        <f t="shared" si="4"/>
        <v>654.9</v>
      </c>
      <c r="M243" s="13">
        <f>L243/4</f>
        <v>163.72499999999999</v>
      </c>
      <c r="N243" s="14"/>
    </row>
    <row r="244" spans="1:14" x14ac:dyDescent="0.35">
      <c r="A244" s="11">
        <v>239</v>
      </c>
      <c r="B244" s="8" t="s">
        <v>19</v>
      </c>
      <c r="C244" s="8" t="s">
        <v>20</v>
      </c>
      <c r="D244" s="8">
        <v>8039</v>
      </c>
      <c r="E244" s="8" t="s">
        <v>320</v>
      </c>
      <c r="F244" s="9">
        <v>810000531</v>
      </c>
      <c r="G244" s="10" t="s">
        <v>321</v>
      </c>
      <c r="H244" s="3">
        <v>2550</v>
      </c>
      <c r="I244" s="4">
        <v>850</v>
      </c>
      <c r="J244" s="5">
        <v>429</v>
      </c>
      <c r="K244" s="6">
        <v>18</v>
      </c>
      <c r="L244" s="6">
        <f t="shared" si="4"/>
        <v>506.21999999999997</v>
      </c>
      <c r="M244" s="13">
        <f>L244*3</f>
        <v>1518.6599999999999</v>
      </c>
      <c r="N244" s="14"/>
    </row>
    <row r="245" spans="1:14" x14ac:dyDescent="0.35">
      <c r="A245" s="11">
        <v>240</v>
      </c>
      <c r="B245" s="8" t="s">
        <v>19</v>
      </c>
      <c r="C245" s="8" t="s">
        <v>20</v>
      </c>
      <c r="D245" s="8">
        <v>8039</v>
      </c>
      <c r="E245" s="8" t="s">
        <v>320</v>
      </c>
      <c r="F245" s="9">
        <v>810000530</v>
      </c>
      <c r="G245" s="10" t="s">
        <v>322</v>
      </c>
      <c r="H245" s="3">
        <v>1050</v>
      </c>
      <c r="I245" s="4">
        <v>875</v>
      </c>
      <c r="J245" s="5">
        <v>434</v>
      </c>
      <c r="K245" s="6">
        <v>18</v>
      </c>
      <c r="L245" s="6">
        <f t="shared" si="4"/>
        <v>512.12</v>
      </c>
      <c r="M245" s="13">
        <f>L245/1000*1200</f>
        <v>614.54399999999998</v>
      </c>
      <c r="N245" s="14"/>
    </row>
    <row r="246" spans="1:14" x14ac:dyDescent="0.35">
      <c r="A246" s="11">
        <v>241</v>
      </c>
      <c r="B246" s="8" t="s">
        <v>19</v>
      </c>
      <c r="C246" s="8" t="s">
        <v>20</v>
      </c>
      <c r="D246" s="8">
        <v>8039</v>
      </c>
      <c r="E246" s="8" t="s">
        <v>320</v>
      </c>
      <c r="F246" s="9">
        <v>810000532</v>
      </c>
      <c r="G246" s="10" t="s">
        <v>323</v>
      </c>
      <c r="H246" s="3">
        <v>555</v>
      </c>
      <c r="I246" s="4">
        <v>925</v>
      </c>
      <c r="J246" s="5">
        <v>450</v>
      </c>
      <c r="K246" s="6">
        <v>18</v>
      </c>
      <c r="L246" s="6">
        <f t="shared" si="4"/>
        <v>531</v>
      </c>
      <c r="M246" s="13">
        <f>L246/1000*600</f>
        <v>318.60000000000002</v>
      </c>
      <c r="N246" s="14"/>
    </row>
    <row r="247" spans="1:14" x14ac:dyDescent="0.35">
      <c r="A247" s="11">
        <v>242</v>
      </c>
      <c r="B247" s="8" t="s">
        <v>19</v>
      </c>
      <c r="C247" s="8" t="s">
        <v>20</v>
      </c>
      <c r="D247" s="8">
        <v>8039</v>
      </c>
      <c r="E247" s="8" t="s">
        <v>320</v>
      </c>
      <c r="F247" s="9">
        <v>810000904</v>
      </c>
      <c r="G247" s="10" t="s">
        <v>324</v>
      </c>
      <c r="H247" s="3">
        <v>255</v>
      </c>
      <c r="I247" s="4">
        <v>1020</v>
      </c>
      <c r="J247" s="5">
        <v>481</v>
      </c>
      <c r="K247" s="6">
        <v>18</v>
      </c>
      <c r="L247" s="6">
        <f t="shared" si="4"/>
        <v>567.57999999999993</v>
      </c>
      <c r="M247" s="13">
        <f>L247/4</f>
        <v>141.89499999999998</v>
      </c>
      <c r="N247" s="14"/>
    </row>
    <row r="248" spans="1:14" ht="15.75" customHeight="1" x14ac:dyDescent="0.35">
      <c r="A248" s="11">
        <v>243</v>
      </c>
      <c r="B248" s="8" t="s">
        <v>19</v>
      </c>
      <c r="C248" s="8" t="s">
        <v>20</v>
      </c>
      <c r="D248" s="8">
        <v>8040</v>
      </c>
      <c r="E248" s="8" t="s">
        <v>325</v>
      </c>
      <c r="F248" s="9">
        <v>810000167</v>
      </c>
      <c r="G248" s="10" t="s">
        <v>326</v>
      </c>
      <c r="H248" s="3">
        <v>400</v>
      </c>
      <c r="I248" s="4">
        <v>400</v>
      </c>
      <c r="J248" s="5">
        <v>175</v>
      </c>
      <c r="K248" s="6">
        <v>18</v>
      </c>
      <c r="L248" s="6">
        <f t="shared" si="4"/>
        <v>206.5</v>
      </c>
      <c r="M248" s="13">
        <f>L248/1000*160</f>
        <v>33.04</v>
      </c>
      <c r="N248" s="14"/>
    </row>
    <row r="249" spans="1:14" ht="15.75" customHeight="1" x14ac:dyDescent="0.35">
      <c r="A249" s="11">
        <v>244</v>
      </c>
      <c r="B249" s="8" t="s">
        <v>19</v>
      </c>
      <c r="C249" s="8" t="s">
        <v>20</v>
      </c>
      <c r="D249" s="8">
        <v>8041</v>
      </c>
      <c r="E249" s="8" t="s">
        <v>327</v>
      </c>
      <c r="F249" s="9">
        <v>810000506</v>
      </c>
      <c r="G249" s="10" t="s">
        <v>328</v>
      </c>
      <c r="H249" s="3">
        <v>5700</v>
      </c>
      <c r="I249" s="4">
        <v>1140</v>
      </c>
      <c r="J249" s="5">
        <v>577</v>
      </c>
      <c r="K249" s="6">
        <v>18</v>
      </c>
      <c r="L249" s="6">
        <f t="shared" si="4"/>
        <v>680.86</v>
      </c>
      <c r="M249" s="13">
        <f>L249*5</f>
        <v>3404.3</v>
      </c>
      <c r="N249" s="14"/>
    </row>
    <row r="250" spans="1:14" ht="15.75" customHeight="1" x14ac:dyDescent="0.35">
      <c r="A250" s="11">
        <v>245</v>
      </c>
      <c r="B250" s="8" t="s">
        <v>19</v>
      </c>
      <c r="C250" s="8" t="s">
        <v>20</v>
      </c>
      <c r="D250" s="8">
        <v>8041</v>
      </c>
      <c r="E250" s="8" t="s">
        <v>327</v>
      </c>
      <c r="F250" s="9">
        <v>810000505</v>
      </c>
      <c r="G250" s="10" t="s">
        <v>329</v>
      </c>
      <c r="H250" s="3">
        <v>1190</v>
      </c>
      <c r="I250" s="4">
        <v>1190</v>
      </c>
      <c r="J250" s="5">
        <v>587</v>
      </c>
      <c r="K250" s="6">
        <v>18</v>
      </c>
      <c r="L250" s="6">
        <f t="shared" si="4"/>
        <v>692.66</v>
      </c>
      <c r="M250" s="13">
        <f>L250/1</f>
        <v>692.66</v>
      </c>
      <c r="N250" s="14"/>
    </row>
    <row r="251" spans="1:14" ht="15.75" customHeight="1" x14ac:dyDescent="0.35">
      <c r="A251" s="11">
        <v>246</v>
      </c>
      <c r="B251" s="8" t="s">
        <v>19</v>
      </c>
      <c r="C251" s="8" t="s">
        <v>45</v>
      </c>
      <c r="D251" s="8">
        <v>8442</v>
      </c>
      <c r="E251" s="8" t="s">
        <v>330</v>
      </c>
      <c r="F251" s="9">
        <v>810000993</v>
      </c>
      <c r="G251" s="10" t="s">
        <v>331</v>
      </c>
      <c r="H251" s="3">
        <v>55000</v>
      </c>
      <c r="I251" s="4">
        <v>55000</v>
      </c>
      <c r="J251" s="5">
        <v>26984</v>
      </c>
      <c r="K251" s="6">
        <v>18</v>
      </c>
      <c r="L251" s="6">
        <f t="shared" si="4"/>
        <v>31841.119999999999</v>
      </c>
      <c r="M251" s="13">
        <f>L251/1</f>
        <v>31841.119999999999</v>
      </c>
      <c r="N251" s="14"/>
    </row>
    <row r="252" spans="1:14" ht="15.75" customHeight="1" x14ac:dyDescent="0.35">
      <c r="A252" s="11">
        <v>247</v>
      </c>
      <c r="B252" s="8" t="s">
        <v>19</v>
      </c>
      <c r="C252" s="8" t="s">
        <v>45</v>
      </c>
      <c r="D252" s="8">
        <v>8442</v>
      </c>
      <c r="E252" s="8" t="s">
        <v>330</v>
      </c>
      <c r="F252" s="9">
        <v>810001037</v>
      </c>
      <c r="G252" s="10" t="s">
        <v>332</v>
      </c>
      <c r="H252" s="3">
        <v>16000</v>
      </c>
      <c r="I252" s="4">
        <v>64000</v>
      </c>
      <c r="J252" s="5">
        <v>27513</v>
      </c>
      <c r="K252" s="6">
        <v>18</v>
      </c>
      <c r="L252" s="6">
        <f t="shared" si="4"/>
        <v>32465.339999999997</v>
      </c>
      <c r="M252" s="13">
        <f>L252/4</f>
        <v>8116.3349999999991</v>
      </c>
      <c r="N252" s="14"/>
    </row>
    <row r="253" spans="1:14" ht="15.75" customHeight="1" x14ac:dyDescent="0.35">
      <c r="A253" s="11">
        <v>248</v>
      </c>
      <c r="B253" s="8" t="s">
        <v>19</v>
      </c>
      <c r="C253" s="8" t="s">
        <v>45</v>
      </c>
      <c r="D253" s="8">
        <v>8442</v>
      </c>
      <c r="E253" s="8" t="s">
        <v>330</v>
      </c>
      <c r="F253" s="9">
        <v>810001038</v>
      </c>
      <c r="G253" s="10" t="s">
        <v>333</v>
      </c>
      <c r="H253" s="3">
        <v>6900</v>
      </c>
      <c r="I253" s="4">
        <v>69000</v>
      </c>
      <c r="J253" s="5">
        <v>28042</v>
      </c>
      <c r="K253" s="6">
        <v>18</v>
      </c>
      <c r="L253" s="6">
        <f t="shared" si="4"/>
        <v>33089.56</v>
      </c>
      <c r="M253" s="13">
        <f>L253/10</f>
        <v>3308.9559999999997</v>
      </c>
      <c r="N253" s="14"/>
    </row>
    <row r="254" spans="1:14" ht="15.75" customHeight="1" x14ac:dyDescent="0.35">
      <c r="A254" s="11">
        <v>249</v>
      </c>
      <c r="B254" s="8" t="s">
        <v>19</v>
      </c>
      <c r="C254" s="8" t="s">
        <v>45</v>
      </c>
      <c r="D254" s="8">
        <v>8442</v>
      </c>
      <c r="E254" s="8" t="s">
        <v>330</v>
      </c>
      <c r="F254" s="9">
        <v>810000994</v>
      </c>
      <c r="G254" s="10" t="s">
        <v>334</v>
      </c>
      <c r="H254" s="3">
        <v>775</v>
      </c>
      <c r="I254" s="4">
        <v>77500</v>
      </c>
      <c r="J254" s="5">
        <v>30159</v>
      </c>
      <c r="K254" s="6">
        <v>18</v>
      </c>
      <c r="L254" s="6">
        <f t="shared" si="4"/>
        <v>35587.619999999995</v>
      </c>
      <c r="M254" s="13">
        <f>L254/100</f>
        <v>355.87619999999993</v>
      </c>
      <c r="N254" s="14"/>
    </row>
    <row r="255" spans="1:14" ht="15.75" customHeight="1" x14ac:dyDescent="0.35">
      <c r="A255" s="11">
        <v>250</v>
      </c>
      <c r="B255" s="8" t="s">
        <v>19</v>
      </c>
      <c r="C255" s="8" t="s">
        <v>45</v>
      </c>
      <c r="D255" s="8">
        <v>8442</v>
      </c>
      <c r="E255" s="8" t="s">
        <v>330</v>
      </c>
      <c r="F255" s="9">
        <v>810000995</v>
      </c>
      <c r="G255" s="10" t="s">
        <v>335</v>
      </c>
      <c r="H255" s="3">
        <v>415</v>
      </c>
      <c r="I255" s="4">
        <v>83000</v>
      </c>
      <c r="J255" s="5">
        <v>32275</v>
      </c>
      <c r="K255" s="6">
        <v>18</v>
      </c>
      <c r="L255" s="6">
        <f t="shared" si="4"/>
        <v>38084.5</v>
      </c>
      <c r="M255" s="13">
        <f>L255/200</f>
        <v>190.42250000000001</v>
      </c>
      <c r="N255" s="14"/>
    </row>
    <row r="256" spans="1:14" ht="15.75" customHeight="1" x14ac:dyDescent="0.35">
      <c r="A256" s="11">
        <v>251</v>
      </c>
      <c r="B256" s="8" t="s">
        <v>19</v>
      </c>
      <c r="C256" s="8" t="s">
        <v>45</v>
      </c>
      <c r="D256" s="8">
        <v>8442</v>
      </c>
      <c r="E256" s="8" t="s">
        <v>330</v>
      </c>
      <c r="F256" s="9">
        <v>810000996</v>
      </c>
      <c r="G256" s="10" t="s">
        <v>336</v>
      </c>
      <c r="H256" s="3">
        <v>91</v>
      </c>
      <c r="I256" s="4">
        <v>91000</v>
      </c>
      <c r="J256" s="5">
        <v>37566</v>
      </c>
      <c r="K256" s="6">
        <v>18</v>
      </c>
      <c r="L256" s="6">
        <f t="shared" si="4"/>
        <v>44327.88</v>
      </c>
      <c r="M256" s="13">
        <f>L256/1000</f>
        <v>44.32788</v>
      </c>
      <c r="N256" s="14"/>
    </row>
    <row r="257" spans="1:14" ht="15.75" customHeight="1" x14ac:dyDescent="0.35">
      <c r="A257" s="11">
        <v>252</v>
      </c>
      <c r="B257" s="8" t="s">
        <v>19</v>
      </c>
      <c r="C257" s="8" t="s">
        <v>20</v>
      </c>
      <c r="D257" s="8">
        <v>8044</v>
      </c>
      <c r="E257" s="8" t="s">
        <v>337</v>
      </c>
      <c r="F257" s="9">
        <v>810000829</v>
      </c>
      <c r="G257" s="10" t="s">
        <v>338</v>
      </c>
      <c r="H257" s="3">
        <v>6100</v>
      </c>
      <c r="I257" s="4">
        <v>6100</v>
      </c>
      <c r="J257" s="5">
        <v>1376</v>
      </c>
      <c r="K257" s="6">
        <v>18</v>
      </c>
      <c r="L257" s="6">
        <f t="shared" si="4"/>
        <v>1623.6799999999998</v>
      </c>
      <c r="M257" s="13">
        <f>L257/1</f>
        <v>1623.6799999999998</v>
      </c>
      <c r="N257" s="14"/>
    </row>
    <row r="258" spans="1:14" ht="15.75" customHeight="1" x14ac:dyDescent="0.35">
      <c r="A258" s="11">
        <v>253</v>
      </c>
      <c r="B258" s="8" t="s">
        <v>19</v>
      </c>
      <c r="C258" s="8" t="s">
        <v>20</v>
      </c>
      <c r="D258" s="8">
        <v>8044</v>
      </c>
      <c r="E258" s="8" t="s">
        <v>337</v>
      </c>
      <c r="F258" s="9">
        <v>810000084</v>
      </c>
      <c r="G258" s="10" t="s">
        <v>339</v>
      </c>
      <c r="H258" s="3">
        <v>3150</v>
      </c>
      <c r="I258" s="4">
        <v>6300</v>
      </c>
      <c r="J258" s="5">
        <v>1429</v>
      </c>
      <c r="K258" s="6">
        <v>18</v>
      </c>
      <c r="L258" s="6">
        <f t="shared" si="4"/>
        <v>1686.2199999999998</v>
      </c>
      <c r="M258" s="13">
        <f>L258/2</f>
        <v>843.1099999999999</v>
      </c>
      <c r="N258" s="14"/>
    </row>
    <row r="259" spans="1:14" ht="15.75" customHeight="1" x14ac:dyDescent="0.35">
      <c r="A259" s="11">
        <v>254</v>
      </c>
      <c r="B259" s="8" t="s">
        <v>19</v>
      </c>
      <c r="C259" s="8" t="s">
        <v>20</v>
      </c>
      <c r="D259" s="8">
        <v>8044</v>
      </c>
      <c r="E259" s="8" t="s">
        <v>337</v>
      </c>
      <c r="F259" s="9">
        <v>810000082</v>
      </c>
      <c r="G259" s="10" t="s">
        <v>340</v>
      </c>
      <c r="H259" s="3">
        <v>1400</v>
      </c>
      <c r="I259" s="4">
        <v>7000</v>
      </c>
      <c r="J259" s="5">
        <v>1481</v>
      </c>
      <c r="K259" s="6">
        <v>18</v>
      </c>
      <c r="L259" s="6">
        <f t="shared" si="4"/>
        <v>1747.58</v>
      </c>
      <c r="M259" s="13">
        <f>L259/5</f>
        <v>349.51599999999996</v>
      </c>
      <c r="N259" s="14"/>
    </row>
    <row r="260" spans="1:14" ht="15.75" customHeight="1" x14ac:dyDescent="0.35">
      <c r="A260" s="11">
        <v>255</v>
      </c>
      <c r="B260" s="8" t="s">
        <v>19</v>
      </c>
      <c r="C260" s="8" t="s">
        <v>20</v>
      </c>
      <c r="D260" s="8">
        <v>8044</v>
      </c>
      <c r="E260" s="8" t="s">
        <v>337</v>
      </c>
      <c r="F260" s="9">
        <v>810000081</v>
      </c>
      <c r="G260" s="10" t="s">
        <v>341</v>
      </c>
      <c r="H260" s="3">
        <v>750</v>
      </c>
      <c r="I260" s="4">
        <v>7500</v>
      </c>
      <c r="J260" s="5">
        <v>1587</v>
      </c>
      <c r="K260" s="6">
        <v>18</v>
      </c>
      <c r="L260" s="6">
        <f t="shared" si="4"/>
        <v>1872.6599999999999</v>
      </c>
      <c r="M260" s="13">
        <f>L260/10</f>
        <v>187.26599999999999</v>
      </c>
      <c r="N260" s="14"/>
    </row>
    <row r="261" spans="1:14" ht="15.75" customHeight="1" x14ac:dyDescent="0.35">
      <c r="A261" s="11">
        <v>256</v>
      </c>
      <c r="B261" s="8" t="s">
        <v>19</v>
      </c>
      <c r="C261" s="8" t="s">
        <v>20</v>
      </c>
      <c r="D261" s="8">
        <v>8044</v>
      </c>
      <c r="E261" s="8" t="s">
        <v>337</v>
      </c>
      <c r="F261" s="9">
        <v>810000083</v>
      </c>
      <c r="G261" s="10" t="s">
        <v>342</v>
      </c>
      <c r="H261" s="3">
        <v>425</v>
      </c>
      <c r="I261" s="4">
        <v>8500</v>
      </c>
      <c r="J261" s="5">
        <v>1746</v>
      </c>
      <c r="K261" s="6">
        <v>18</v>
      </c>
      <c r="L261" s="6">
        <f t="shared" si="4"/>
        <v>2060.2799999999997</v>
      </c>
      <c r="M261" s="13">
        <f>L261/20</f>
        <v>103.01399999999998</v>
      </c>
      <c r="N261" s="14"/>
    </row>
    <row r="262" spans="1:14" ht="15.75" customHeight="1" x14ac:dyDescent="0.35">
      <c r="A262" s="11">
        <v>257</v>
      </c>
      <c r="B262" s="8" t="s">
        <v>19</v>
      </c>
      <c r="C262" s="8" t="s">
        <v>20</v>
      </c>
      <c r="D262" s="8">
        <v>8044</v>
      </c>
      <c r="E262" s="8" t="s">
        <v>337</v>
      </c>
      <c r="F262" s="9">
        <v>810000080</v>
      </c>
      <c r="G262" s="10" t="s">
        <v>343</v>
      </c>
      <c r="H262" s="3">
        <v>111</v>
      </c>
      <c r="I262" s="4">
        <v>11100</v>
      </c>
      <c r="J262" s="5">
        <v>2328</v>
      </c>
      <c r="K262" s="6">
        <v>18</v>
      </c>
      <c r="L262" s="6">
        <f t="shared" si="4"/>
        <v>2747.04</v>
      </c>
      <c r="M262" s="13">
        <f>L262/100</f>
        <v>27.470399999999998</v>
      </c>
      <c r="N262" s="14"/>
    </row>
    <row r="263" spans="1:14" ht="15.75" customHeight="1" x14ac:dyDescent="0.35">
      <c r="A263" s="11">
        <v>258</v>
      </c>
      <c r="B263" s="8" t="s">
        <v>19</v>
      </c>
      <c r="C263" s="8" t="s">
        <v>20</v>
      </c>
      <c r="D263" s="8">
        <v>8585</v>
      </c>
      <c r="E263" s="8" t="s">
        <v>344</v>
      </c>
      <c r="F263" s="9">
        <v>810001466</v>
      </c>
      <c r="G263" s="10" t="s">
        <v>345</v>
      </c>
      <c r="H263" s="3">
        <v>1700</v>
      </c>
      <c r="I263" s="4">
        <v>1700</v>
      </c>
      <c r="J263" s="5">
        <v>794</v>
      </c>
      <c r="K263" s="6">
        <v>18</v>
      </c>
      <c r="L263" s="6">
        <f t="shared" si="4"/>
        <v>936.92</v>
      </c>
      <c r="M263" s="13">
        <f>L263/1</f>
        <v>936.92</v>
      </c>
      <c r="N263" s="14"/>
    </row>
    <row r="264" spans="1:14" ht="15.75" customHeight="1" x14ac:dyDescent="0.35">
      <c r="A264" s="11">
        <v>259</v>
      </c>
      <c r="B264" s="8" t="s">
        <v>19</v>
      </c>
      <c r="C264" s="8" t="s">
        <v>20</v>
      </c>
      <c r="D264" s="8">
        <v>8585</v>
      </c>
      <c r="E264" s="8" t="s">
        <v>344</v>
      </c>
      <c r="F264" s="9">
        <v>810001467</v>
      </c>
      <c r="G264" s="10" t="s">
        <v>346</v>
      </c>
      <c r="H264" s="3">
        <v>900</v>
      </c>
      <c r="I264" s="4">
        <v>1800</v>
      </c>
      <c r="J264" s="5">
        <v>820</v>
      </c>
      <c r="K264" s="6">
        <v>18</v>
      </c>
      <c r="L264" s="6">
        <f t="shared" ref="L264:L327" si="5">J264*(100+K264)%</f>
        <v>967.59999999999991</v>
      </c>
      <c r="M264" s="13">
        <f>L264/2</f>
        <v>483.79999999999995</v>
      </c>
      <c r="N264" s="14"/>
    </row>
    <row r="265" spans="1:14" ht="15.75" customHeight="1" x14ac:dyDescent="0.35">
      <c r="A265" s="11">
        <v>260</v>
      </c>
      <c r="B265" s="8" t="s">
        <v>19</v>
      </c>
      <c r="C265" s="8" t="s">
        <v>20</v>
      </c>
      <c r="D265" s="8">
        <v>8585</v>
      </c>
      <c r="E265" s="8" t="s">
        <v>344</v>
      </c>
      <c r="F265" s="9">
        <v>810001468</v>
      </c>
      <c r="G265" s="10" t="s">
        <v>347</v>
      </c>
      <c r="H265" s="3">
        <v>500</v>
      </c>
      <c r="I265" s="4">
        <v>2000</v>
      </c>
      <c r="J265" s="5">
        <v>862</v>
      </c>
      <c r="K265" s="6">
        <v>18</v>
      </c>
      <c r="L265" s="6">
        <f t="shared" si="5"/>
        <v>1017.16</v>
      </c>
      <c r="M265" s="13">
        <f>L265/4</f>
        <v>254.29</v>
      </c>
      <c r="N265" s="14"/>
    </row>
    <row r="266" spans="1:14" ht="15.75" customHeight="1" x14ac:dyDescent="0.35">
      <c r="A266" s="11">
        <v>261</v>
      </c>
      <c r="B266" s="8" t="s">
        <v>19</v>
      </c>
      <c r="C266" s="8" t="s">
        <v>20</v>
      </c>
      <c r="D266" s="8">
        <v>8587</v>
      </c>
      <c r="E266" s="8" t="s">
        <v>348</v>
      </c>
      <c r="F266" s="9">
        <v>810001480</v>
      </c>
      <c r="G266" s="10" t="s">
        <v>349</v>
      </c>
      <c r="H266" s="3">
        <v>2500</v>
      </c>
      <c r="I266" s="4">
        <v>2500</v>
      </c>
      <c r="J266" s="5">
        <v>1164</v>
      </c>
      <c r="K266" s="6">
        <v>18</v>
      </c>
      <c r="L266" s="6">
        <f t="shared" si="5"/>
        <v>1373.52</v>
      </c>
      <c r="M266" s="13">
        <f>L266/1</f>
        <v>1373.52</v>
      </c>
      <c r="N266" s="14"/>
    </row>
    <row r="267" spans="1:14" ht="15.75" customHeight="1" x14ac:dyDescent="0.35">
      <c r="A267" s="11">
        <v>262</v>
      </c>
      <c r="B267" s="8" t="s">
        <v>19</v>
      </c>
      <c r="C267" s="8" t="s">
        <v>20</v>
      </c>
      <c r="D267" s="8">
        <v>8587</v>
      </c>
      <c r="E267" s="8" t="s">
        <v>348</v>
      </c>
      <c r="F267" s="9">
        <v>810001481</v>
      </c>
      <c r="G267" s="10" t="s">
        <v>350</v>
      </c>
      <c r="H267" s="3">
        <v>1300</v>
      </c>
      <c r="I267" s="4">
        <v>2600</v>
      </c>
      <c r="J267" s="5">
        <v>1201</v>
      </c>
      <c r="K267" s="6">
        <v>18</v>
      </c>
      <c r="L267" s="6">
        <f t="shared" si="5"/>
        <v>1417.1799999999998</v>
      </c>
      <c r="M267" s="13">
        <f>L267/2</f>
        <v>708.58999999999992</v>
      </c>
      <c r="N267" s="14"/>
    </row>
    <row r="268" spans="1:14" ht="15.75" customHeight="1" x14ac:dyDescent="0.35">
      <c r="A268" s="11">
        <v>263</v>
      </c>
      <c r="B268" s="8" t="s">
        <v>19</v>
      </c>
      <c r="C268" s="8" t="s">
        <v>20</v>
      </c>
      <c r="D268" s="8">
        <v>8587</v>
      </c>
      <c r="E268" s="8" t="s">
        <v>348</v>
      </c>
      <c r="F268" s="9">
        <v>810001482</v>
      </c>
      <c r="G268" s="10" t="s">
        <v>351</v>
      </c>
      <c r="H268" s="3">
        <v>700</v>
      </c>
      <c r="I268" s="4">
        <v>2800</v>
      </c>
      <c r="J268" s="5">
        <v>1270</v>
      </c>
      <c r="K268" s="6">
        <v>18</v>
      </c>
      <c r="L268" s="6">
        <f t="shared" si="5"/>
        <v>1498.6</v>
      </c>
      <c r="M268" s="13">
        <f>L268/4</f>
        <v>374.65</v>
      </c>
      <c r="N268" s="14"/>
    </row>
    <row r="269" spans="1:14" x14ac:dyDescent="0.35">
      <c r="A269" s="11">
        <v>264</v>
      </c>
      <c r="B269" s="8" t="s">
        <v>19</v>
      </c>
      <c r="C269" s="8" t="s">
        <v>20</v>
      </c>
      <c r="D269" s="8">
        <v>8584</v>
      </c>
      <c r="E269" s="8" t="s">
        <v>352</v>
      </c>
      <c r="F269" s="9">
        <v>810001458</v>
      </c>
      <c r="G269" s="10" t="s">
        <v>353</v>
      </c>
      <c r="H269" s="3">
        <v>4900</v>
      </c>
      <c r="I269" s="4">
        <v>4900</v>
      </c>
      <c r="J269" s="5">
        <v>1667</v>
      </c>
      <c r="K269" s="6">
        <v>18</v>
      </c>
      <c r="L269" s="6">
        <f t="shared" si="5"/>
        <v>1967.06</v>
      </c>
      <c r="M269" s="13">
        <f>L269/1</f>
        <v>1967.06</v>
      </c>
      <c r="N269" s="14"/>
    </row>
    <row r="270" spans="1:14" x14ac:dyDescent="0.35">
      <c r="A270" s="11">
        <v>265</v>
      </c>
      <c r="B270" s="8" t="s">
        <v>19</v>
      </c>
      <c r="C270" s="8" t="s">
        <v>20</v>
      </c>
      <c r="D270" s="8">
        <v>8584</v>
      </c>
      <c r="E270" s="8" t="s">
        <v>352</v>
      </c>
      <c r="F270" s="9">
        <v>810001459</v>
      </c>
      <c r="G270" s="10" t="s">
        <v>354</v>
      </c>
      <c r="H270" s="3">
        <v>2500</v>
      </c>
      <c r="I270" s="4">
        <v>5000</v>
      </c>
      <c r="J270" s="5">
        <v>1719</v>
      </c>
      <c r="K270" s="6">
        <v>18</v>
      </c>
      <c r="L270" s="6">
        <f t="shared" si="5"/>
        <v>2028.4199999999998</v>
      </c>
      <c r="M270" s="13">
        <f>L270/2</f>
        <v>1014.2099999999999</v>
      </c>
      <c r="N270" s="14"/>
    </row>
    <row r="271" spans="1:14" x14ac:dyDescent="0.35">
      <c r="A271" s="11">
        <v>266</v>
      </c>
      <c r="B271" s="8" t="s">
        <v>19</v>
      </c>
      <c r="C271" s="8" t="s">
        <v>20</v>
      </c>
      <c r="D271" s="8">
        <v>8584</v>
      </c>
      <c r="E271" s="8" t="s">
        <v>352</v>
      </c>
      <c r="F271" s="9">
        <v>810001460</v>
      </c>
      <c r="G271" s="10" t="s">
        <v>355</v>
      </c>
      <c r="H271" s="3">
        <v>1300</v>
      </c>
      <c r="I271" s="4">
        <v>5200</v>
      </c>
      <c r="J271" s="5">
        <v>1771</v>
      </c>
      <c r="K271" s="6">
        <v>18</v>
      </c>
      <c r="L271" s="6">
        <f t="shared" si="5"/>
        <v>2089.7799999999997</v>
      </c>
      <c r="M271" s="13">
        <f>L271/4</f>
        <v>522.44499999999994</v>
      </c>
      <c r="N271" s="14"/>
    </row>
    <row r="272" spans="1:14" ht="15.75" customHeight="1" x14ac:dyDescent="0.35">
      <c r="A272" s="11">
        <v>267</v>
      </c>
      <c r="B272" s="8" t="s">
        <v>44</v>
      </c>
      <c r="C272" s="8" t="s">
        <v>45</v>
      </c>
      <c r="D272" s="8">
        <v>8045</v>
      </c>
      <c r="E272" s="8" t="s">
        <v>356</v>
      </c>
      <c r="F272" s="9">
        <v>810000694</v>
      </c>
      <c r="G272" s="10" t="s">
        <v>357</v>
      </c>
      <c r="H272" s="3">
        <v>9500</v>
      </c>
      <c r="I272" s="4">
        <v>1900</v>
      </c>
      <c r="J272" s="5">
        <v>1153</v>
      </c>
      <c r="K272" s="6">
        <v>18</v>
      </c>
      <c r="L272" s="6">
        <f t="shared" si="5"/>
        <v>1360.54</v>
      </c>
      <c r="M272" s="13">
        <f>L272*5</f>
        <v>6802.7</v>
      </c>
      <c r="N272" s="14"/>
    </row>
    <row r="273" spans="1:14" ht="15.75" customHeight="1" x14ac:dyDescent="0.35">
      <c r="A273" s="11">
        <v>268</v>
      </c>
      <c r="B273" s="8" t="s">
        <v>44</v>
      </c>
      <c r="C273" s="8" t="s">
        <v>45</v>
      </c>
      <c r="D273" s="8">
        <v>8045</v>
      </c>
      <c r="E273" s="8" t="s">
        <v>356</v>
      </c>
      <c r="F273" s="9">
        <v>810000690</v>
      </c>
      <c r="G273" s="10" t="s">
        <v>358</v>
      </c>
      <c r="H273" s="3">
        <v>2120</v>
      </c>
      <c r="I273" s="4">
        <v>2120</v>
      </c>
      <c r="J273" s="5">
        <v>1164</v>
      </c>
      <c r="K273" s="6">
        <v>18</v>
      </c>
      <c r="L273" s="6">
        <f t="shared" si="5"/>
        <v>1373.52</v>
      </c>
      <c r="M273" s="13">
        <f>L273/1</f>
        <v>1373.52</v>
      </c>
      <c r="N273" s="14"/>
    </row>
    <row r="274" spans="1:14" ht="15.75" customHeight="1" x14ac:dyDescent="0.35">
      <c r="A274" s="11">
        <v>269</v>
      </c>
      <c r="B274" s="8" t="s">
        <v>44</v>
      </c>
      <c r="C274" s="8" t="s">
        <v>45</v>
      </c>
      <c r="D274" s="8">
        <v>8045</v>
      </c>
      <c r="E274" s="8" t="s">
        <v>356</v>
      </c>
      <c r="F274" s="9">
        <v>810000695</v>
      </c>
      <c r="G274" s="10" t="s">
        <v>359</v>
      </c>
      <c r="H274" s="3">
        <v>1120</v>
      </c>
      <c r="I274" s="4">
        <v>2240</v>
      </c>
      <c r="J274" s="5">
        <v>1190</v>
      </c>
      <c r="K274" s="6">
        <v>18</v>
      </c>
      <c r="L274" s="6">
        <f t="shared" si="5"/>
        <v>1404.1999999999998</v>
      </c>
      <c r="M274" s="13">
        <f>L274/2</f>
        <v>702.09999999999991</v>
      </c>
      <c r="N274" s="14"/>
    </row>
    <row r="275" spans="1:14" ht="15.75" customHeight="1" x14ac:dyDescent="0.35">
      <c r="A275" s="11">
        <v>270</v>
      </c>
      <c r="B275" s="8" t="s">
        <v>44</v>
      </c>
      <c r="C275" s="8" t="s">
        <v>45</v>
      </c>
      <c r="D275" s="8">
        <v>8045</v>
      </c>
      <c r="E275" s="8" t="s">
        <v>356</v>
      </c>
      <c r="F275" s="9">
        <v>810000693</v>
      </c>
      <c r="G275" s="10" t="s">
        <v>360</v>
      </c>
      <c r="H275" s="3">
        <v>620</v>
      </c>
      <c r="I275" s="4">
        <v>2480</v>
      </c>
      <c r="J275" s="5">
        <v>1217</v>
      </c>
      <c r="K275" s="6">
        <v>18</v>
      </c>
      <c r="L275" s="6">
        <f t="shared" si="5"/>
        <v>1436.06</v>
      </c>
      <c r="M275" s="13">
        <f>L275/4</f>
        <v>359.01499999999999</v>
      </c>
      <c r="N275" s="14"/>
    </row>
    <row r="276" spans="1:14" ht="15.75" customHeight="1" x14ac:dyDescent="0.35">
      <c r="A276" s="11">
        <v>271</v>
      </c>
      <c r="B276" s="8" t="s">
        <v>44</v>
      </c>
      <c r="C276" s="8" t="s">
        <v>45</v>
      </c>
      <c r="D276" s="8">
        <v>8045</v>
      </c>
      <c r="E276" s="8" t="s">
        <v>356</v>
      </c>
      <c r="F276" s="9">
        <v>810000691</v>
      </c>
      <c r="G276" s="10" t="s">
        <v>361</v>
      </c>
      <c r="H276" s="3">
        <v>271</v>
      </c>
      <c r="I276" s="4">
        <v>2710</v>
      </c>
      <c r="J276" s="5">
        <v>1270</v>
      </c>
      <c r="K276" s="6">
        <v>18</v>
      </c>
      <c r="L276" s="6">
        <f t="shared" si="5"/>
        <v>1498.6</v>
      </c>
      <c r="M276" s="13">
        <f>L276/10</f>
        <v>149.85999999999999</v>
      </c>
      <c r="N276" s="14"/>
    </row>
    <row r="277" spans="1:14" ht="15.75" customHeight="1" x14ac:dyDescent="0.35">
      <c r="A277" s="11">
        <v>272</v>
      </c>
      <c r="B277" s="8" t="s">
        <v>44</v>
      </c>
      <c r="C277" s="8" t="s">
        <v>45</v>
      </c>
      <c r="D277" s="8">
        <v>8045</v>
      </c>
      <c r="E277" s="8" t="s">
        <v>356</v>
      </c>
      <c r="F277" s="9">
        <v>810000697</v>
      </c>
      <c r="G277" s="10" t="s">
        <v>362</v>
      </c>
      <c r="H277" s="3">
        <v>161</v>
      </c>
      <c r="I277" s="4">
        <v>3220</v>
      </c>
      <c r="J277" s="5">
        <v>1376</v>
      </c>
      <c r="K277" s="6">
        <v>18</v>
      </c>
      <c r="L277" s="6">
        <f t="shared" si="5"/>
        <v>1623.6799999999998</v>
      </c>
      <c r="M277" s="13">
        <f>L277/20</f>
        <v>81.183999999999997</v>
      </c>
      <c r="N277" s="14"/>
    </row>
    <row r="278" spans="1:14" ht="15.75" customHeight="1" x14ac:dyDescent="0.35">
      <c r="A278" s="11">
        <v>273</v>
      </c>
      <c r="B278" s="8" t="s">
        <v>44</v>
      </c>
      <c r="C278" s="8" t="s">
        <v>45</v>
      </c>
      <c r="D278" s="8">
        <v>8045</v>
      </c>
      <c r="E278" s="8" t="s">
        <v>356</v>
      </c>
      <c r="F278" s="9">
        <v>810001011</v>
      </c>
      <c r="G278" s="10" t="s">
        <v>363</v>
      </c>
      <c r="H278" s="3">
        <v>81</v>
      </c>
      <c r="I278" s="4">
        <v>4050</v>
      </c>
      <c r="J278" s="5">
        <v>1640</v>
      </c>
      <c r="K278" s="6">
        <v>18</v>
      </c>
      <c r="L278" s="6">
        <f t="shared" si="5"/>
        <v>1935.1999999999998</v>
      </c>
      <c r="M278" s="13">
        <f>L278/50</f>
        <v>38.703999999999994</v>
      </c>
      <c r="N278" s="14"/>
    </row>
    <row r="279" spans="1:14" ht="15.75" customHeight="1" x14ac:dyDescent="0.35">
      <c r="A279" s="11">
        <v>274</v>
      </c>
      <c r="B279" s="8" t="s">
        <v>19</v>
      </c>
      <c r="C279" s="8" t="s">
        <v>23</v>
      </c>
      <c r="D279" s="8">
        <v>8413</v>
      </c>
      <c r="E279" s="8" t="s">
        <v>364</v>
      </c>
      <c r="F279" s="9">
        <v>810000914</v>
      </c>
      <c r="G279" s="10" t="s">
        <v>365</v>
      </c>
      <c r="H279" s="3">
        <v>2500</v>
      </c>
      <c r="I279" s="4">
        <v>2500</v>
      </c>
      <c r="J279" s="5">
        <v>1164</v>
      </c>
      <c r="K279" s="6">
        <v>18</v>
      </c>
      <c r="L279" s="6">
        <f t="shared" si="5"/>
        <v>1373.52</v>
      </c>
      <c r="M279" s="13">
        <f>L279/1</f>
        <v>1373.52</v>
      </c>
      <c r="N279" s="14"/>
    </row>
    <row r="280" spans="1:14" ht="15.75" customHeight="1" x14ac:dyDescent="0.35">
      <c r="A280" s="11">
        <v>275</v>
      </c>
      <c r="B280" s="8" t="s">
        <v>19</v>
      </c>
      <c r="C280" s="8" t="s">
        <v>23</v>
      </c>
      <c r="D280" s="8">
        <v>8413</v>
      </c>
      <c r="E280" s="8" t="s">
        <v>364</v>
      </c>
      <c r="F280" s="9">
        <v>810000915</v>
      </c>
      <c r="G280" s="10" t="s">
        <v>366</v>
      </c>
      <c r="H280" s="3">
        <v>1300</v>
      </c>
      <c r="I280" s="4">
        <v>2600</v>
      </c>
      <c r="J280" s="5">
        <v>1190</v>
      </c>
      <c r="K280" s="6">
        <v>18</v>
      </c>
      <c r="L280" s="6">
        <f t="shared" si="5"/>
        <v>1404.1999999999998</v>
      </c>
      <c r="M280" s="13">
        <f>L280/2</f>
        <v>702.09999999999991</v>
      </c>
      <c r="N280" s="14"/>
    </row>
    <row r="281" spans="1:14" ht="15.75" customHeight="1" x14ac:dyDescent="0.35">
      <c r="A281" s="11">
        <v>276</v>
      </c>
      <c r="B281" s="8" t="s">
        <v>19</v>
      </c>
      <c r="C281" s="8" t="s">
        <v>23</v>
      </c>
      <c r="D281" s="8">
        <v>8413</v>
      </c>
      <c r="E281" s="8" t="s">
        <v>364</v>
      </c>
      <c r="F281" s="9">
        <v>810000916</v>
      </c>
      <c r="G281" s="10" t="s">
        <v>367</v>
      </c>
      <c r="H281" s="3">
        <v>680</v>
      </c>
      <c r="I281" s="4">
        <v>2720</v>
      </c>
      <c r="J281" s="5">
        <v>1243</v>
      </c>
      <c r="K281" s="6">
        <v>18</v>
      </c>
      <c r="L281" s="6">
        <f t="shared" si="5"/>
        <v>1466.74</v>
      </c>
      <c r="M281" s="13">
        <f>L281/4</f>
        <v>366.685</v>
      </c>
      <c r="N281" s="14"/>
    </row>
    <row r="282" spans="1:14" ht="15.75" customHeight="1" x14ac:dyDescent="0.35">
      <c r="A282" s="11">
        <v>277</v>
      </c>
      <c r="B282" s="8" t="s">
        <v>19</v>
      </c>
      <c r="C282" s="8" t="s">
        <v>23</v>
      </c>
      <c r="D282" s="8">
        <v>8413</v>
      </c>
      <c r="E282" s="8" t="s">
        <v>364</v>
      </c>
      <c r="F282" s="9">
        <v>810000917</v>
      </c>
      <c r="G282" s="10" t="s">
        <v>368</v>
      </c>
      <c r="H282" s="3">
        <v>291</v>
      </c>
      <c r="I282" s="4">
        <v>2910</v>
      </c>
      <c r="J282" s="5">
        <v>1307</v>
      </c>
      <c r="K282" s="6">
        <v>18</v>
      </c>
      <c r="L282" s="6">
        <f t="shared" si="5"/>
        <v>1542.26</v>
      </c>
      <c r="M282" s="13">
        <f>L282/10</f>
        <v>154.226</v>
      </c>
      <c r="N282" s="14"/>
    </row>
    <row r="283" spans="1:14" ht="15.75" customHeight="1" x14ac:dyDescent="0.35">
      <c r="A283" s="11">
        <v>278</v>
      </c>
      <c r="B283" s="8" t="s">
        <v>19</v>
      </c>
      <c r="C283" s="8" t="s">
        <v>23</v>
      </c>
      <c r="D283" s="8">
        <v>8048</v>
      </c>
      <c r="E283" s="8" t="s">
        <v>369</v>
      </c>
      <c r="F283" s="9">
        <v>810000150</v>
      </c>
      <c r="G283" s="10" t="s">
        <v>370</v>
      </c>
      <c r="H283" s="3">
        <v>8500</v>
      </c>
      <c r="I283" s="4">
        <v>1700</v>
      </c>
      <c r="J283" s="5">
        <v>630</v>
      </c>
      <c r="K283" s="6">
        <v>18</v>
      </c>
      <c r="L283" s="6">
        <f t="shared" si="5"/>
        <v>743.4</v>
      </c>
      <c r="M283" s="13">
        <f>L283*5</f>
        <v>3717</v>
      </c>
      <c r="N283" s="14"/>
    </row>
    <row r="284" spans="1:14" ht="15.75" customHeight="1" x14ac:dyDescent="0.35">
      <c r="A284" s="11">
        <v>279</v>
      </c>
      <c r="B284" s="8" t="s">
        <v>19</v>
      </c>
      <c r="C284" s="8" t="s">
        <v>23</v>
      </c>
      <c r="D284" s="8">
        <v>8048</v>
      </c>
      <c r="E284" s="8" t="s">
        <v>369</v>
      </c>
      <c r="F284" s="9">
        <v>810000147</v>
      </c>
      <c r="G284" s="10" t="s">
        <v>371</v>
      </c>
      <c r="H284" s="3">
        <v>1800</v>
      </c>
      <c r="I284" s="4">
        <v>1800</v>
      </c>
      <c r="J284" s="5">
        <v>640</v>
      </c>
      <c r="K284" s="6">
        <v>18</v>
      </c>
      <c r="L284" s="6">
        <f t="shared" si="5"/>
        <v>755.19999999999993</v>
      </c>
      <c r="M284" s="13">
        <f>L284/1</f>
        <v>755.19999999999993</v>
      </c>
      <c r="N284" s="14"/>
    </row>
    <row r="285" spans="1:14" ht="15.75" customHeight="1" x14ac:dyDescent="0.35">
      <c r="A285" s="11">
        <v>280</v>
      </c>
      <c r="B285" s="8" t="s">
        <v>19</v>
      </c>
      <c r="C285" s="8" t="s">
        <v>23</v>
      </c>
      <c r="D285" s="8">
        <v>8048</v>
      </c>
      <c r="E285" s="8" t="s">
        <v>369</v>
      </c>
      <c r="F285" s="9">
        <v>810000151</v>
      </c>
      <c r="G285" s="10" t="s">
        <v>372</v>
      </c>
      <c r="H285" s="3">
        <v>950</v>
      </c>
      <c r="I285" s="4">
        <v>1900</v>
      </c>
      <c r="J285" s="5">
        <v>656</v>
      </c>
      <c r="K285" s="6">
        <v>18</v>
      </c>
      <c r="L285" s="6">
        <f t="shared" si="5"/>
        <v>774.07999999999993</v>
      </c>
      <c r="M285" s="13">
        <f>L285/2</f>
        <v>387.03999999999996</v>
      </c>
      <c r="N285" s="14"/>
    </row>
    <row r="286" spans="1:14" ht="15.75" customHeight="1" x14ac:dyDescent="0.35">
      <c r="A286" s="11">
        <v>281</v>
      </c>
      <c r="B286" s="8" t="s">
        <v>19</v>
      </c>
      <c r="C286" s="8" t="s">
        <v>23</v>
      </c>
      <c r="D286" s="8">
        <v>8048</v>
      </c>
      <c r="E286" s="8" t="s">
        <v>369</v>
      </c>
      <c r="F286" s="9">
        <v>810000149</v>
      </c>
      <c r="G286" s="10" t="s">
        <v>373</v>
      </c>
      <c r="H286" s="3">
        <v>500</v>
      </c>
      <c r="I286" s="4">
        <v>2000</v>
      </c>
      <c r="J286" s="5">
        <v>688</v>
      </c>
      <c r="K286" s="6">
        <v>18</v>
      </c>
      <c r="L286" s="6">
        <f t="shared" si="5"/>
        <v>811.83999999999992</v>
      </c>
      <c r="M286" s="13">
        <f>L286/4</f>
        <v>202.95999999999998</v>
      </c>
      <c r="N286" s="14"/>
    </row>
    <row r="287" spans="1:14" ht="15.75" customHeight="1" x14ac:dyDescent="0.35">
      <c r="A287" s="11">
        <v>282</v>
      </c>
      <c r="B287" s="8" t="s">
        <v>19</v>
      </c>
      <c r="C287" s="8" t="s">
        <v>23</v>
      </c>
      <c r="D287" s="8">
        <v>8048</v>
      </c>
      <c r="E287" s="8" t="s">
        <v>369</v>
      </c>
      <c r="F287" s="9">
        <v>810000148</v>
      </c>
      <c r="G287" s="10" t="s">
        <v>374</v>
      </c>
      <c r="H287" s="3">
        <v>225</v>
      </c>
      <c r="I287" s="4">
        <v>2250</v>
      </c>
      <c r="J287" s="5">
        <v>735</v>
      </c>
      <c r="K287" s="6">
        <v>18</v>
      </c>
      <c r="L287" s="6">
        <f t="shared" si="5"/>
        <v>867.3</v>
      </c>
      <c r="M287" s="13">
        <f>L287/10</f>
        <v>86.72999999999999</v>
      </c>
      <c r="N287" s="14"/>
    </row>
    <row r="288" spans="1:14" ht="15.75" customHeight="1" x14ac:dyDescent="0.35">
      <c r="A288" s="11">
        <v>283</v>
      </c>
      <c r="B288" s="8" t="s">
        <v>31</v>
      </c>
      <c r="C288" s="8" t="s">
        <v>23</v>
      </c>
      <c r="D288" s="8">
        <v>8051</v>
      </c>
      <c r="E288" s="8" t="s">
        <v>375</v>
      </c>
      <c r="F288" s="9">
        <v>810000551</v>
      </c>
      <c r="G288" s="10" t="s">
        <v>376</v>
      </c>
      <c r="H288" s="3">
        <v>8000</v>
      </c>
      <c r="I288" s="4">
        <v>1600</v>
      </c>
      <c r="J288" s="5">
        <v>873</v>
      </c>
      <c r="K288" s="6">
        <v>18</v>
      </c>
      <c r="L288" s="6">
        <f t="shared" si="5"/>
        <v>1030.1399999999999</v>
      </c>
      <c r="M288" s="13">
        <f>L288*5</f>
        <v>5150.6999999999989</v>
      </c>
      <c r="N288" s="14"/>
    </row>
    <row r="289" spans="1:14" ht="15.75" customHeight="1" x14ac:dyDescent="0.35">
      <c r="A289" s="11">
        <v>284</v>
      </c>
      <c r="B289" s="8" t="s">
        <v>31</v>
      </c>
      <c r="C289" s="8" t="s">
        <v>23</v>
      </c>
      <c r="D289" s="8">
        <v>8051</v>
      </c>
      <c r="E289" s="8" t="s">
        <v>375</v>
      </c>
      <c r="F289" s="9">
        <v>810000548</v>
      </c>
      <c r="G289" s="10" t="s">
        <v>377</v>
      </c>
      <c r="H289" s="3">
        <v>2000</v>
      </c>
      <c r="I289" s="4">
        <v>2000</v>
      </c>
      <c r="J289" s="5">
        <v>926</v>
      </c>
      <c r="K289" s="6">
        <v>18</v>
      </c>
      <c r="L289" s="6">
        <f t="shared" si="5"/>
        <v>1092.6799999999998</v>
      </c>
      <c r="M289" s="13">
        <f>L289/1</f>
        <v>1092.6799999999998</v>
      </c>
      <c r="N289" s="14"/>
    </row>
    <row r="290" spans="1:14" ht="15.75" customHeight="1" x14ac:dyDescent="0.35">
      <c r="A290" s="11">
        <v>285</v>
      </c>
      <c r="B290" s="8" t="s">
        <v>31</v>
      </c>
      <c r="C290" s="8" t="s">
        <v>23</v>
      </c>
      <c r="D290" s="8">
        <v>8051</v>
      </c>
      <c r="E290" s="8" t="s">
        <v>375</v>
      </c>
      <c r="F290" s="9">
        <v>810000552</v>
      </c>
      <c r="G290" s="10" t="s">
        <v>378</v>
      </c>
      <c r="H290" s="3">
        <v>1100</v>
      </c>
      <c r="I290" s="4">
        <v>2200</v>
      </c>
      <c r="J290" s="5">
        <v>984</v>
      </c>
      <c r="K290" s="6">
        <v>18</v>
      </c>
      <c r="L290" s="6">
        <f t="shared" si="5"/>
        <v>1161.1199999999999</v>
      </c>
      <c r="M290" s="13">
        <f>L290/2</f>
        <v>580.55999999999995</v>
      </c>
      <c r="N290" s="14"/>
    </row>
    <row r="291" spans="1:14" ht="15.75" customHeight="1" x14ac:dyDescent="0.35">
      <c r="A291" s="11">
        <v>286</v>
      </c>
      <c r="B291" s="8" t="s">
        <v>31</v>
      </c>
      <c r="C291" s="8" t="s">
        <v>23</v>
      </c>
      <c r="D291" s="8">
        <v>8051</v>
      </c>
      <c r="E291" s="8" t="s">
        <v>375</v>
      </c>
      <c r="F291" s="9">
        <v>810000550</v>
      </c>
      <c r="G291" s="10" t="s">
        <v>379</v>
      </c>
      <c r="H291" s="3">
        <v>600</v>
      </c>
      <c r="I291" s="4">
        <v>2400</v>
      </c>
      <c r="J291" s="5">
        <v>1021</v>
      </c>
      <c r="K291" s="6">
        <v>18</v>
      </c>
      <c r="L291" s="6">
        <f t="shared" si="5"/>
        <v>1204.78</v>
      </c>
      <c r="M291" s="13">
        <f>L291/4</f>
        <v>301.19499999999999</v>
      </c>
      <c r="N291" s="14"/>
    </row>
    <row r="292" spans="1:14" ht="15.75" customHeight="1" x14ac:dyDescent="0.35">
      <c r="A292" s="11">
        <v>287</v>
      </c>
      <c r="B292" s="8" t="s">
        <v>31</v>
      </c>
      <c r="C292" s="8" t="s">
        <v>23</v>
      </c>
      <c r="D292" s="8">
        <v>8051</v>
      </c>
      <c r="E292" s="8" t="s">
        <v>375</v>
      </c>
      <c r="F292" s="9">
        <v>810000549</v>
      </c>
      <c r="G292" s="10" t="s">
        <v>380</v>
      </c>
      <c r="H292" s="3">
        <v>250</v>
      </c>
      <c r="I292" s="4">
        <v>2500</v>
      </c>
      <c r="J292" s="5">
        <v>1090</v>
      </c>
      <c r="K292" s="6">
        <v>18</v>
      </c>
      <c r="L292" s="6">
        <f t="shared" si="5"/>
        <v>1286.2</v>
      </c>
      <c r="M292" s="13">
        <f>L292/10</f>
        <v>128.62</v>
      </c>
      <c r="N292" s="14"/>
    </row>
    <row r="293" spans="1:14" ht="15.75" customHeight="1" x14ac:dyDescent="0.35">
      <c r="A293" s="11">
        <v>288</v>
      </c>
      <c r="B293" s="8" t="s">
        <v>19</v>
      </c>
      <c r="C293" s="8" t="s">
        <v>45</v>
      </c>
      <c r="D293" s="8">
        <v>8519</v>
      </c>
      <c r="E293" s="8" t="s">
        <v>381</v>
      </c>
      <c r="F293" s="9">
        <v>810001246</v>
      </c>
      <c r="G293" s="10" t="s">
        <v>382</v>
      </c>
      <c r="H293" s="3">
        <v>3111</v>
      </c>
      <c r="I293" s="4">
        <v>3111</v>
      </c>
      <c r="J293" s="5">
        <v>1005</v>
      </c>
      <c r="K293" s="6">
        <v>18</v>
      </c>
      <c r="L293" s="6">
        <f t="shared" si="5"/>
        <v>1185.8999999999999</v>
      </c>
      <c r="M293" s="13">
        <f>L293/1</f>
        <v>1185.8999999999999</v>
      </c>
      <c r="N293" s="14"/>
    </row>
    <row r="294" spans="1:14" ht="15.75" customHeight="1" x14ac:dyDescent="0.35">
      <c r="A294" s="11">
        <v>289</v>
      </c>
      <c r="B294" s="8" t="s">
        <v>19</v>
      </c>
      <c r="C294" s="8" t="s">
        <v>13</v>
      </c>
      <c r="D294" s="8">
        <v>8551</v>
      </c>
      <c r="E294" s="8" t="s">
        <v>383</v>
      </c>
      <c r="F294" s="9">
        <v>810001359</v>
      </c>
      <c r="G294" s="10" t="s">
        <v>384</v>
      </c>
      <c r="H294" s="3">
        <v>7500</v>
      </c>
      <c r="I294" s="4">
        <v>7500</v>
      </c>
      <c r="J294" s="5">
        <v>1878</v>
      </c>
      <c r="K294" s="6">
        <v>18</v>
      </c>
      <c r="L294" s="6">
        <f t="shared" si="5"/>
        <v>2216.04</v>
      </c>
      <c r="M294" s="13">
        <f>L294/1</f>
        <v>2216.04</v>
      </c>
      <c r="N294" s="14"/>
    </row>
    <row r="295" spans="1:14" ht="15.75" customHeight="1" x14ac:dyDescent="0.35">
      <c r="A295" s="11">
        <v>290</v>
      </c>
      <c r="B295" s="8" t="s">
        <v>19</v>
      </c>
      <c r="C295" s="8" t="s">
        <v>13</v>
      </c>
      <c r="D295" s="8">
        <v>8551</v>
      </c>
      <c r="E295" s="8" t="s">
        <v>383</v>
      </c>
      <c r="F295" s="9">
        <v>810001411</v>
      </c>
      <c r="G295" s="10" t="s">
        <v>385</v>
      </c>
      <c r="H295" s="3">
        <v>1600</v>
      </c>
      <c r="I295" s="4">
        <v>8000</v>
      </c>
      <c r="J295" s="5">
        <v>1984</v>
      </c>
      <c r="K295" s="6">
        <v>18</v>
      </c>
      <c r="L295" s="6">
        <f t="shared" si="5"/>
        <v>2341.12</v>
      </c>
      <c r="M295" s="13">
        <f>L295/5</f>
        <v>468.22399999999999</v>
      </c>
      <c r="N295" s="14"/>
    </row>
    <row r="296" spans="1:14" ht="15.75" customHeight="1" x14ac:dyDescent="0.35">
      <c r="A296" s="11">
        <v>291</v>
      </c>
      <c r="B296" s="8" t="s">
        <v>19</v>
      </c>
      <c r="C296" s="8" t="s">
        <v>13</v>
      </c>
      <c r="D296" s="8">
        <v>8551</v>
      </c>
      <c r="E296" s="8" t="s">
        <v>383</v>
      </c>
      <c r="F296" s="9">
        <v>810001360</v>
      </c>
      <c r="G296" s="10" t="s">
        <v>386</v>
      </c>
      <c r="H296" s="3">
        <v>850</v>
      </c>
      <c r="I296" s="4">
        <v>8500</v>
      </c>
      <c r="J296" s="5">
        <v>2090</v>
      </c>
      <c r="K296" s="6">
        <v>18</v>
      </c>
      <c r="L296" s="6">
        <f t="shared" si="5"/>
        <v>2466.1999999999998</v>
      </c>
      <c r="M296" s="13">
        <f>L296/10</f>
        <v>246.61999999999998</v>
      </c>
      <c r="N296" s="14"/>
    </row>
    <row r="297" spans="1:14" ht="15.75" customHeight="1" x14ac:dyDescent="0.35">
      <c r="A297" s="11">
        <v>292</v>
      </c>
      <c r="B297" s="8" t="s">
        <v>19</v>
      </c>
      <c r="C297" s="8" t="s">
        <v>23</v>
      </c>
      <c r="D297" s="8">
        <v>8049</v>
      </c>
      <c r="E297" s="8" t="s">
        <v>387</v>
      </c>
      <c r="F297" s="9">
        <v>810001426</v>
      </c>
      <c r="G297" s="10" t="s">
        <v>388</v>
      </c>
      <c r="H297" s="3">
        <v>2700</v>
      </c>
      <c r="I297" s="4">
        <v>11250</v>
      </c>
      <c r="J297" s="5">
        <v>5800</v>
      </c>
      <c r="K297" s="6">
        <v>18</v>
      </c>
      <c r="L297" s="6">
        <f t="shared" si="5"/>
        <v>6844</v>
      </c>
      <c r="M297" s="13">
        <f>L297/1000*240</f>
        <v>1642.5600000000002</v>
      </c>
      <c r="N297" s="14" t="s">
        <v>593</v>
      </c>
    </row>
    <row r="298" spans="1:14" ht="15.75" customHeight="1" x14ac:dyDescent="0.35">
      <c r="A298" s="11">
        <v>293</v>
      </c>
      <c r="B298" s="8" t="s">
        <v>19</v>
      </c>
      <c r="C298" s="8" t="s">
        <v>23</v>
      </c>
      <c r="D298" s="8">
        <v>8049</v>
      </c>
      <c r="E298" s="8" t="s">
        <v>387</v>
      </c>
      <c r="F298" s="9">
        <v>810001427</v>
      </c>
      <c r="G298" s="10" t="s">
        <v>389</v>
      </c>
      <c r="H298" s="3">
        <v>2070</v>
      </c>
      <c r="I298" s="4">
        <v>11500</v>
      </c>
      <c r="J298" s="5">
        <v>5875</v>
      </c>
      <c r="K298" s="6">
        <v>18</v>
      </c>
      <c r="L298" s="6">
        <f t="shared" si="5"/>
        <v>6932.5</v>
      </c>
      <c r="M298" s="13">
        <f>L298/1000*180</f>
        <v>1247.8499999999999</v>
      </c>
      <c r="N298" s="14" t="s">
        <v>593</v>
      </c>
    </row>
    <row r="299" spans="1:14" ht="15.75" customHeight="1" x14ac:dyDescent="0.35">
      <c r="A299" s="11">
        <v>294</v>
      </c>
      <c r="B299" s="8" t="s">
        <v>19</v>
      </c>
      <c r="C299" s="8" t="s">
        <v>23</v>
      </c>
      <c r="D299" s="8">
        <v>8049</v>
      </c>
      <c r="E299" s="8" t="s">
        <v>387</v>
      </c>
      <c r="F299" s="9">
        <v>810001428</v>
      </c>
      <c r="G299" s="10" t="s">
        <v>390</v>
      </c>
      <c r="H299" s="3">
        <v>1071</v>
      </c>
      <c r="I299" s="4">
        <v>11900</v>
      </c>
      <c r="J299" s="5">
        <v>6000</v>
      </c>
      <c r="K299" s="6">
        <v>18</v>
      </c>
      <c r="L299" s="6">
        <f t="shared" si="5"/>
        <v>7080</v>
      </c>
      <c r="M299" s="13">
        <f>L299/1000*90</f>
        <v>637.20000000000005</v>
      </c>
      <c r="N299" s="14" t="s">
        <v>593</v>
      </c>
    </row>
    <row r="300" spans="1:14" ht="15.75" customHeight="1" x14ac:dyDescent="0.35">
      <c r="A300" s="11">
        <v>295</v>
      </c>
      <c r="B300" s="8" t="s">
        <v>31</v>
      </c>
      <c r="C300" s="8" t="s">
        <v>20</v>
      </c>
      <c r="D300" s="8">
        <v>8050</v>
      </c>
      <c r="E300" s="8" t="s">
        <v>391</v>
      </c>
      <c r="F300" s="9">
        <v>810000313</v>
      </c>
      <c r="G300" s="10" t="s">
        <v>392</v>
      </c>
      <c r="H300" s="3">
        <v>800</v>
      </c>
      <c r="I300" s="4">
        <v>800</v>
      </c>
      <c r="J300" s="5">
        <v>335</v>
      </c>
      <c r="K300" s="6">
        <v>18</v>
      </c>
      <c r="L300" s="6">
        <f t="shared" si="5"/>
        <v>395.29999999999995</v>
      </c>
      <c r="M300" s="13">
        <f>L300/1</f>
        <v>395.29999999999995</v>
      </c>
      <c r="N300" s="14" t="s">
        <v>593</v>
      </c>
    </row>
    <row r="301" spans="1:14" ht="15.75" customHeight="1" x14ac:dyDescent="0.35">
      <c r="A301" s="11">
        <v>296</v>
      </c>
      <c r="B301" s="8" t="s">
        <v>31</v>
      </c>
      <c r="C301" s="8" t="s">
        <v>20</v>
      </c>
      <c r="D301" s="8">
        <v>8050</v>
      </c>
      <c r="E301" s="8" t="s">
        <v>391</v>
      </c>
      <c r="F301" s="9">
        <v>810000001</v>
      </c>
      <c r="G301" s="10" t="s">
        <v>393</v>
      </c>
      <c r="H301" s="3">
        <v>350</v>
      </c>
      <c r="I301" s="4">
        <v>875</v>
      </c>
      <c r="J301" s="5">
        <v>356</v>
      </c>
      <c r="K301" s="6">
        <v>18</v>
      </c>
      <c r="L301" s="6">
        <f t="shared" si="5"/>
        <v>420.08</v>
      </c>
      <c r="M301" s="13">
        <f>L301/1000*400</f>
        <v>168.03200000000001</v>
      </c>
      <c r="N301" s="14" t="s">
        <v>593</v>
      </c>
    </row>
    <row r="302" spans="1:14" ht="15.75" customHeight="1" x14ac:dyDescent="0.35">
      <c r="A302" s="11">
        <v>297</v>
      </c>
      <c r="B302" s="8" t="s">
        <v>19</v>
      </c>
      <c r="C302" s="8" t="s">
        <v>13</v>
      </c>
      <c r="D302" s="8">
        <v>8052</v>
      </c>
      <c r="E302" s="8" t="s">
        <v>394</v>
      </c>
      <c r="F302" s="9">
        <v>810000152</v>
      </c>
      <c r="G302" s="10" t="s">
        <v>395</v>
      </c>
      <c r="H302" s="3">
        <v>1600</v>
      </c>
      <c r="I302" s="4">
        <v>1600</v>
      </c>
      <c r="J302" s="5">
        <v>847</v>
      </c>
      <c r="K302" s="6">
        <v>18</v>
      </c>
      <c r="L302" s="6">
        <f t="shared" si="5"/>
        <v>999.45999999999992</v>
      </c>
      <c r="M302" s="13">
        <f>L302/1</f>
        <v>999.45999999999992</v>
      </c>
      <c r="N302" s="14"/>
    </row>
    <row r="303" spans="1:14" ht="15.75" customHeight="1" x14ac:dyDescent="0.35">
      <c r="A303" s="11">
        <v>298</v>
      </c>
      <c r="B303" s="8" t="s">
        <v>19</v>
      </c>
      <c r="C303" s="8" t="s">
        <v>13</v>
      </c>
      <c r="D303" s="8">
        <v>8052</v>
      </c>
      <c r="E303" s="8" t="s">
        <v>394</v>
      </c>
      <c r="F303" s="9">
        <v>810000155</v>
      </c>
      <c r="G303" s="10" t="s">
        <v>396</v>
      </c>
      <c r="H303" s="3">
        <v>825</v>
      </c>
      <c r="I303" s="4">
        <v>1650</v>
      </c>
      <c r="J303" s="5">
        <v>868</v>
      </c>
      <c r="K303" s="6">
        <v>18</v>
      </c>
      <c r="L303" s="6">
        <f t="shared" si="5"/>
        <v>1024.24</v>
      </c>
      <c r="M303" s="13">
        <f>L303/2</f>
        <v>512.12</v>
      </c>
      <c r="N303" s="14"/>
    </row>
    <row r="304" spans="1:14" ht="15.75" customHeight="1" x14ac:dyDescent="0.35">
      <c r="A304" s="11">
        <v>299</v>
      </c>
      <c r="B304" s="8" t="s">
        <v>19</v>
      </c>
      <c r="C304" s="8" t="s">
        <v>13</v>
      </c>
      <c r="D304" s="8">
        <v>8052</v>
      </c>
      <c r="E304" s="8" t="s">
        <v>394</v>
      </c>
      <c r="F304" s="9">
        <v>810000154</v>
      </c>
      <c r="G304" s="10" t="s">
        <v>397</v>
      </c>
      <c r="H304" s="3">
        <v>430</v>
      </c>
      <c r="I304" s="4">
        <v>1720</v>
      </c>
      <c r="J304" s="5">
        <v>899</v>
      </c>
      <c r="K304" s="6">
        <v>18</v>
      </c>
      <c r="L304" s="6">
        <f t="shared" si="5"/>
        <v>1060.82</v>
      </c>
      <c r="M304" s="13">
        <f>L304/4</f>
        <v>265.20499999999998</v>
      </c>
      <c r="N304" s="14"/>
    </row>
    <row r="305" spans="1:14" ht="15.75" customHeight="1" x14ac:dyDescent="0.35">
      <c r="A305" s="11">
        <v>300</v>
      </c>
      <c r="B305" s="8" t="s">
        <v>19</v>
      </c>
      <c r="C305" s="8" t="s">
        <v>13</v>
      </c>
      <c r="D305" s="8">
        <v>8052</v>
      </c>
      <c r="E305" s="8" t="s">
        <v>394</v>
      </c>
      <c r="F305" s="9">
        <v>810000153</v>
      </c>
      <c r="G305" s="10" t="s">
        <v>398</v>
      </c>
      <c r="H305" s="3">
        <v>180</v>
      </c>
      <c r="I305" s="4">
        <v>1800</v>
      </c>
      <c r="J305" s="5">
        <v>942</v>
      </c>
      <c r="K305" s="6">
        <v>18</v>
      </c>
      <c r="L305" s="6">
        <f t="shared" si="5"/>
        <v>1111.56</v>
      </c>
      <c r="M305" s="13">
        <f>L305/10</f>
        <v>111.15599999999999</v>
      </c>
      <c r="N305" s="14"/>
    </row>
    <row r="306" spans="1:14" ht="15.75" customHeight="1" x14ac:dyDescent="0.35">
      <c r="A306" s="11">
        <v>301</v>
      </c>
      <c r="B306" s="8" t="s">
        <v>19</v>
      </c>
      <c r="C306" s="8" t="s">
        <v>23</v>
      </c>
      <c r="D306" s="8">
        <v>8443</v>
      </c>
      <c r="E306" s="8" t="s">
        <v>399</v>
      </c>
      <c r="F306" s="9">
        <v>810001049</v>
      </c>
      <c r="G306" s="10" t="s">
        <v>400</v>
      </c>
      <c r="H306" s="3">
        <v>3250</v>
      </c>
      <c r="I306" s="4">
        <v>13000</v>
      </c>
      <c r="J306" s="5">
        <v>4663</v>
      </c>
      <c r="K306" s="6">
        <v>18</v>
      </c>
      <c r="L306" s="6">
        <f t="shared" si="5"/>
        <v>5502.34</v>
      </c>
      <c r="M306" s="13">
        <f>L306/4</f>
        <v>1375.585</v>
      </c>
      <c r="N306" s="14"/>
    </row>
    <row r="307" spans="1:14" ht="15.75" customHeight="1" x14ac:dyDescent="0.35">
      <c r="A307" s="11">
        <v>302</v>
      </c>
      <c r="B307" s="8" t="s">
        <v>19</v>
      </c>
      <c r="C307" s="8" t="s">
        <v>23</v>
      </c>
      <c r="D307" s="8">
        <v>8443</v>
      </c>
      <c r="E307" s="8" t="s">
        <v>399</v>
      </c>
      <c r="F307" s="9">
        <v>810001050</v>
      </c>
      <c r="G307" s="10" t="s">
        <v>401</v>
      </c>
      <c r="H307" s="3">
        <v>1350</v>
      </c>
      <c r="I307" s="4">
        <v>13500</v>
      </c>
      <c r="J307" s="5">
        <v>4715</v>
      </c>
      <c r="K307" s="6">
        <v>18</v>
      </c>
      <c r="L307" s="6">
        <f t="shared" si="5"/>
        <v>5563.7</v>
      </c>
      <c r="M307" s="13">
        <f>L307/1000*100</f>
        <v>556.37</v>
      </c>
      <c r="N307" s="14"/>
    </row>
    <row r="308" spans="1:14" ht="15.75" customHeight="1" x14ac:dyDescent="0.35">
      <c r="A308" s="11">
        <v>303</v>
      </c>
      <c r="B308" s="8" t="s">
        <v>19</v>
      </c>
      <c r="C308" s="8" t="s">
        <v>23</v>
      </c>
      <c r="D308" s="8">
        <v>8443</v>
      </c>
      <c r="E308" s="8" t="s">
        <v>399</v>
      </c>
      <c r="F308" s="9">
        <v>810001052</v>
      </c>
      <c r="G308" s="10" t="s">
        <v>402</v>
      </c>
      <c r="H308" s="3">
        <v>580</v>
      </c>
      <c r="I308" s="4">
        <v>14500</v>
      </c>
      <c r="J308" s="5">
        <v>4819</v>
      </c>
      <c r="K308" s="6">
        <v>18</v>
      </c>
      <c r="L308" s="6">
        <f t="shared" si="5"/>
        <v>5686.42</v>
      </c>
      <c r="M308" s="13">
        <f>L308/1000*40</f>
        <v>227.45679999999999</v>
      </c>
      <c r="N308" s="14"/>
    </row>
    <row r="309" spans="1:14" ht="15.75" customHeight="1" x14ac:dyDescent="0.35">
      <c r="A309" s="11">
        <v>304</v>
      </c>
      <c r="B309" s="8" t="s">
        <v>19</v>
      </c>
      <c r="C309" s="8" t="s">
        <v>23</v>
      </c>
      <c r="D309" s="8">
        <v>8443</v>
      </c>
      <c r="E309" s="8" t="s">
        <v>399</v>
      </c>
      <c r="F309" s="9">
        <v>810001254</v>
      </c>
      <c r="G309" s="10" t="s">
        <v>403</v>
      </c>
      <c r="H309" s="3">
        <v>105</v>
      </c>
      <c r="I309" s="4">
        <v>17500</v>
      </c>
      <c r="J309" s="5">
        <v>5544</v>
      </c>
      <c r="K309" s="6">
        <v>18</v>
      </c>
      <c r="L309" s="6">
        <f t="shared" si="5"/>
        <v>6541.92</v>
      </c>
      <c r="M309" s="13">
        <f>L309/1000*6</f>
        <v>39.251519999999999</v>
      </c>
      <c r="N309" s="14"/>
    </row>
    <row r="310" spans="1:14" ht="15.75" customHeight="1" x14ac:dyDescent="0.35">
      <c r="A310" s="11">
        <v>305</v>
      </c>
      <c r="B310" s="8" t="s">
        <v>31</v>
      </c>
      <c r="C310" s="8" t="s">
        <v>20</v>
      </c>
      <c r="D310" s="8">
        <v>8053</v>
      </c>
      <c r="E310" s="8" t="s">
        <v>404</v>
      </c>
      <c r="F310" s="9">
        <v>810000433</v>
      </c>
      <c r="G310" s="10" t="s">
        <v>405</v>
      </c>
      <c r="H310" s="3">
        <v>1750</v>
      </c>
      <c r="I310" s="4">
        <v>3500</v>
      </c>
      <c r="J310" s="5">
        <v>1211</v>
      </c>
      <c r="K310" s="6">
        <v>18</v>
      </c>
      <c r="L310" s="6">
        <f t="shared" si="5"/>
        <v>1428.98</v>
      </c>
      <c r="M310" s="13">
        <f>L310/2</f>
        <v>714.49</v>
      </c>
      <c r="N310" s="14" t="s">
        <v>593</v>
      </c>
    </row>
    <row r="311" spans="1:14" ht="15.75" customHeight="1" x14ac:dyDescent="0.35">
      <c r="A311" s="11">
        <v>306</v>
      </c>
      <c r="B311" s="8" t="s">
        <v>31</v>
      </c>
      <c r="C311" s="8" t="s">
        <v>20</v>
      </c>
      <c r="D311" s="8">
        <v>8053</v>
      </c>
      <c r="E311" s="8" t="s">
        <v>404</v>
      </c>
      <c r="F311" s="9">
        <v>810000432</v>
      </c>
      <c r="G311" s="10" t="s">
        <v>406</v>
      </c>
      <c r="H311" s="3">
        <v>900</v>
      </c>
      <c r="I311" s="4">
        <v>3600</v>
      </c>
      <c r="J311" s="5">
        <v>1227</v>
      </c>
      <c r="K311" s="6">
        <v>18</v>
      </c>
      <c r="L311" s="6">
        <f t="shared" si="5"/>
        <v>1447.86</v>
      </c>
      <c r="M311" s="13">
        <f>L311/4</f>
        <v>361.96499999999997</v>
      </c>
      <c r="N311" s="14" t="s">
        <v>593</v>
      </c>
    </row>
    <row r="312" spans="1:14" ht="15.75" customHeight="1" x14ac:dyDescent="0.35">
      <c r="A312" s="11">
        <v>307</v>
      </c>
      <c r="B312" s="8" t="s">
        <v>31</v>
      </c>
      <c r="C312" s="8" t="s">
        <v>20</v>
      </c>
      <c r="D312" s="8">
        <v>8053</v>
      </c>
      <c r="E312" s="8" t="s">
        <v>404</v>
      </c>
      <c r="F312" s="9">
        <v>810000431</v>
      </c>
      <c r="G312" s="10" t="s">
        <v>407</v>
      </c>
      <c r="H312" s="3">
        <v>375</v>
      </c>
      <c r="I312" s="4">
        <v>3750</v>
      </c>
      <c r="J312" s="5">
        <v>1247</v>
      </c>
      <c r="K312" s="6">
        <v>18</v>
      </c>
      <c r="L312" s="6">
        <f t="shared" si="5"/>
        <v>1471.4599999999998</v>
      </c>
      <c r="M312" s="13">
        <f>L312/10</f>
        <v>147.14599999999999</v>
      </c>
      <c r="N312" s="14" t="s">
        <v>593</v>
      </c>
    </row>
    <row r="313" spans="1:14" x14ac:dyDescent="0.35">
      <c r="A313" s="11">
        <v>308</v>
      </c>
      <c r="B313" s="8" t="s">
        <v>31</v>
      </c>
      <c r="C313" s="8" t="s">
        <v>20</v>
      </c>
      <c r="D313" s="8">
        <v>8054</v>
      </c>
      <c r="E313" s="8" t="s">
        <v>408</v>
      </c>
      <c r="F313" s="9">
        <v>810000296</v>
      </c>
      <c r="G313" s="10" t="s">
        <v>409</v>
      </c>
      <c r="H313" s="3">
        <v>170000</v>
      </c>
      <c r="I313" s="4">
        <v>850</v>
      </c>
      <c r="J313" s="5">
        <v>309</v>
      </c>
      <c r="K313" s="6">
        <v>18</v>
      </c>
      <c r="L313" s="6">
        <f t="shared" si="5"/>
        <v>364.62</v>
      </c>
      <c r="M313" s="13">
        <f>L313*200</f>
        <v>72924</v>
      </c>
      <c r="N313" s="14" t="s">
        <v>593</v>
      </c>
    </row>
    <row r="314" spans="1:14" x14ac:dyDescent="0.35">
      <c r="A314" s="11">
        <v>309</v>
      </c>
      <c r="B314" s="8" t="s">
        <v>31</v>
      </c>
      <c r="C314" s="8" t="s">
        <v>20</v>
      </c>
      <c r="D314" s="8">
        <v>8054</v>
      </c>
      <c r="E314" s="8" t="s">
        <v>408</v>
      </c>
      <c r="F314" s="9">
        <v>810000299</v>
      </c>
      <c r="G314" s="10" t="s">
        <v>410</v>
      </c>
      <c r="H314" s="3">
        <v>43000</v>
      </c>
      <c r="I314" s="4">
        <v>860</v>
      </c>
      <c r="J314" s="5">
        <v>330</v>
      </c>
      <c r="K314" s="6">
        <v>18</v>
      </c>
      <c r="L314" s="6">
        <f t="shared" si="5"/>
        <v>389.4</v>
      </c>
      <c r="M314" s="13">
        <f>L314*50</f>
        <v>19470</v>
      </c>
      <c r="N314" s="14" t="s">
        <v>593</v>
      </c>
    </row>
    <row r="315" spans="1:14" x14ac:dyDescent="0.35">
      <c r="A315" s="11">
        <v>310</v>
      </c>
      <c r="B315" s="8" t="s">
        <v>31</v>
      </c>
      <c r="C315" s="8" t="s">
        <v>20</v>
      </c>
      <c r="D315" s="8">
        <v>8054</v>
      </c>
      <c r="E315" s="8" t="s">
        <v>408</v>
      </c>
      <c r="F315" s="9">
        <v>810000295</v>
      </c>
      <c r="G315" s="10" t="s">
        <v>411</v>
      </c>
      <c r="H315" s="3">
        <v>17500</v>
      </c>
      <c r="I315" s="4">
        <v>875</v>
      </c>
      <c r="J315" s="5">
        <v>335</v>
      </c>
      <c r="K315" s="6">
        <v>18</v>
      </c>
      <c r="L315" s="6">
        <f t="shared" si="5"/>
        <v>395.29999999999995</v>
      </c>
      <c r="M315" s="13">
        <f>L315*20</f>
        <v>7905.9999999999991</v>
      </c>
      <c r="N315" s="14" t="s">
        <v>593</v>
      </c>
    </row>
    <row r="316" spans="1:14" x14ac:dyDescent="0.35">
      <c r="A316" s="11">
        <v>311</v>
      </c>
      <c r="B316" s="8" t="s">
        <v>31</v>
      </c>
      <c r="C316" s="8" t="s">
        <v>20</v>
      </c>
      <c r="D316" s="8">
        <v>8054</v>
      </c>
      <c r="E316" s="8" t="s">
        <v>408</v>
      </c>
      <c r="F316" s="9">
        <v>810000298</v>
      </c>
      <c r="G316" s="10" t="s">
        <v>412</v>
      </c>
      <c r="H316" s="3">
        <v>4500</v>
      </c>
      <c r="I316" s="4">
        <v>900</v>
      </c>
      <c r="J316" s="5">
        <v>340</v>
      </c>
      <c r="K316" s="6">
        <v>18</v>
      </c>
      <c r="L316" s="6">
        <f t="shared" si="5"/>
        <v>401.2</v>
      </c>
      <c r="M316" s="13">
        <f>L316*5</f>
        <v>2006</v>
      </c>
      <c r="N316" s="14" t="s">
        <v>593</v>
      </c>
    </row>
    <row r="317" spans="1:14" x14ac:dyDescent="0.35">
      <c r="A317" s="11">
        <v>312</v>
      </c>
      <c r="B317" s="8" t="s">
        <v>31</v>
      </c>
      <c r="C317" s="8" t="s">
        <v>20</v>
      </c>
      <c r="D317" s="8">
        <v>8054</v>
      </c>
      <c r="E317" s="8" t="s">
        <v>408</v>
      </c>
      <c r="F317" s="9">
        <v>810000294</v>
      </c>
      <c r="G317" s="10" t="s">
        <v>413</v>
      </c>
      <c r="H317" s="3">
        <v>925</v>
      </c>
      <c r="I317" s="4">
        <v>925</v>
      </c>
      <c r="J317" s="5">
        <v>351</v>
      </c>
      <c r="K317" s="6">
        <v>18</v>
      </c>
      <c r="L317" s="6">
        <f t="shared" si="5"/>
        <v>414.17999999999995</v>
      </c>
      <c r="M317" s="13">
        <f>L317/1</f>
        <v>414.17999999999995</v>
      </c>
      <c r="N317" s="14" t="s">
        <v>593</v>
      </c>
    </row>
    <row r="318" spans="1:14" x14ac:dyDescent="0.35">
      <c r="A318" s="11">
        <v>313</v>
      </c>
      <c r="B318" s="8" t="s">
        <v>31</v>
      </c>
      <c r="C318" s="8" t="s">
        <v>20</v>
      </c>
      <c r="D318" s="8">
        <v>8054</v>
      </c>
      <c r="E318" s="8" t="s">
        <v>408</v>
      </c>
      <c r="F318" s="9">
        <v>810000301</v>
      </c>
      <c r="G318" s="10" t="s">
        <v>414</v>
      </c>
      <c r="H318" s="3">
        <v>485</v>
      </c>
      <c r="I318" s="4">
        <v>970</v>
      </c>
      <c r="J318" s="5">
        <v>371</v>
      </c>
      <c r="K318" s="6">
        <v>18</v>
      </c>
      <c r="L318" s="6">
        <f t="shared" si="5"/>
        <v>437.78</v>
      </c>
      <c r="M318" s="13">
        <f>L318/2</f>
        <v>218.89</v>
      </c>
      <c r="N318" s="14" t="s">
        <v>593</v>
      </c>
    </row>
    <row r="319" spans="1:14" x14ac:dyDescent="0.35">
      <c r="A319" s="11">
        <v>314</v>
      </c>
      <c r="B319" s="8" t="s">
        <v>31</v>
      </c>
      <c r="C319" s="8" t="s">
        <v>20</v>
      </c>
      <c r="D319" s="8">
        <v>8054</v>
      </c>
      <c r="E319" s="8" t="s">
        <v>408</v>
      </c>
      <c r="F319" s="9">
        <v>810001237</v>
      </c>
      <c r="G319" s="10" t="s">
        <v>415</v>
      </c>
      <c r="H319" s="3">
        <v>275</v>
      </c>
      <c r="I319" s="4">
        <v>1100</v>
      </c>
      <c r="J319" s="5">
        <v>402</v>
      </c>
      <c r="K319" s="6">
        <v>18</v>
      </c>
      <c r="L319" s="6">
        <f t="shared" si="5"/>
        <v>474.35999999999996</v>
      </c>
      <c r="M319" s="13">
        <f>L319/4</f>
        <v>118.58999999999999</v>
      </c>
      <c r="N319" s="14" t="s">
        <v>593</v>
      </c>
    </row>
    <row r="320" spans="1:14" x14ac:dyDescent="0.35">
      <c r="A320" s="11">
        <v>315</v>
      </c>
      <c r="B320" s="8" t="s">
        <v>31</v>
      </c>
      <c r="C320" s="8" t="s">
        <v>20</v>
      </c>
      <c r="D320" s="8">
        <v>8055</v>
      </c>
      <c r="E320" s="8" t="s">
        <v>416</v>
      </c>
      <c r="F320" s="9">
        <v>810001402</v>
      </c>
      <c r="G320" s="10" t="s">
        <v>417</v>
      </c>
      <c r="H320" s="3">
        <v>7500</v>
      </c>
      <c r="I320" s="4">
        <v>1500</v>
      </c>
      <c r="J320" s="5">
        <v>567</v>
      </c>
      <c r="K320" s="6">
        <v>18</v>
      </c>
      <c r="L320" s="6">
        <f t="shared" si="5"/>
        <v>669.06</v>
      </c>
      <c r="M320" s="13">
        <f>L320*5</f>
        <v>3345.2999999999997</v>
      </c>
      <c r="N320" s="14" t="s">
        <v>593</v>
      </c>
    </row>
    <row r="321" spans="1:14" x14ac:dyDescent="0.35">
      <c r="A321" s="11">
        <v>316</v>
      </c>
      <c r="B321" s="8" t="s">
        <v>31</v>
      </c>
      <c r="C321" s="8" t="s">
        <v>20</v>
      </c>
      <c r="D321" s="8">
        <v>8055</v>
      </c>
      <c r="E321" s="8" t="s">
        <v>416</v>
      </c>
      <c r="F321" s="9">
        <v>810000302</v>
      </c>
      <c r="G321" s="10" t="s">
        <v>418</v>
      </c>
      <c r="H321" s="3">
        <v>1601</v>
      </c>
      <c r="I321" s="4">
        <v>1601</v>
      </c>
      <c r="J321" s="5">
        <v>572</v>
      </c>
      <c r="K321" s="6">
        <v>18</v>
      </c>
      <c r="L321" s="6">
        <f t="shared" si="5"/>
        <v>674.95999999999992</v>
      </c>
      <c r="M321" s="13">
        <f>L321/1</f>
        <v>674.95999999999992</v>
      </c>
      <c r="N321" s="14" t="s">
        <v>593</v>
      </c>
    </row>
    <row r="322" spans="1:14" x14ac:dyDescent="0.35">
      <c r="A322" s="11">
        <v>317</v>
      </c>
      <c r="B322" s="8" t="s">
        <v>31</v>
      </c>
      <c r="C322" s="8" t="s">
        <v>20</v>
      </c>
      <c r="D322" s="8">
        <v>8055</v>
      </c>
      <c r="E322" s="8" t="s">
        <v>416</v>
      </c>
      <c r="F322" s="9">
        <v>810000304</v>
      </c>
      <c r="G322" s="10" t="s">
        <v>419</v>
      </c>
      <c r="H322" s="3">
        <v>831</v>
      </c>
      <c r="I322" s="4">
        <v>1662</v>
      </c>
      <c r="J322" s="5">
        <v>582</v>
      </c>
      <c r="K322" s="6">
        <v>18</v>
      </c>
      <c r="L322" s="6">
        <f t="shared" si="5"/>
        <v>686.76</v>
      </c>
      <c r="M322" s="13">
        <f>L322/2</f>
        <v>343.38</v>
      </c>
      <c r="N322" s="14" t="s">
        <v>593</v>
      </c>
    </row>
    <row r="323" spans="1:14" x14ac:dyDescent="0.35">
      <c r="A323" s="11">
        <v>318</v>
      </c>
      <c r="B323" s="8" t="s">
        <v>31</v>
      </c>
      <c r="C323" s="8" t="s">
        <v>20</v>
      </c>
      <c r="D323" s="8">
        <v>8055</v>
      </c>
      <c r="E323" s="8" t="s">
        <v>416</v>
      </c>
      <c r="F323" s="9">
        <v>810000303</v>
      </c>
      <c r="G323" s="10" t="s">
        <v>420</v>
      </c>
      <c r="H323" s="3">
        <v>171</v>
      </c>
      <c r="I323" s="4">
        <v>1710</v>
      </c>
      <c r="J323" s="5">
        <v>619</v>
      </c>
      <c r="K323" s="6">
        <v>18</v>
      </c>
      <c r="L323" s="6">
        <f t="shared" si="5"/>
        <v>730.42</v>
      </c>
      <c r="M323" s="13">
        <f>L323/10</f>
        <v>73.042000000000002</v>
      </c>
      <c r="N323" s="14" t="s">
        <v>593</v>
      </c>
    </row>
    <row r="324" spans="1:14" ht="15.75" customHeight="1" x14ac:dyDescent="0.35">
      <c r="A324" s="11">
        <v>319</v>
      </c>
      <c r="B324" s="8" t="s">
        <v>12</v>
      </c>
      <c r="C324" s="8" t="s">
        <v>23</v>
      </c>
      <c r="D324" s="8">
        <v>8406</v>
      </c>
      <c r="E324" s="8" t="s">
        <v>421</v>
      </c>
      <c r="F324" s="9">
        <v>810000895</v>
      </c>
      <c r="G324" s="10" t="s">
        <v>422</v>
      </c>
      <c r="H324" s="3">
        <v>2100</v>
      </c>
      <c r="I324" s="4">
        <v>350</v>
      </c>
      <c r="J324" s="5">
        <v>160</v>
      </c>
      <c r="K324" s="6">
        <v>18</v>
      </c>
      <c r="L324" s="6">
        <f t="shared" si="5"/>
        <v>188.79999999999998</v>
      </c>
      <c r="M324" s="13">
        <f>L324*6</f>
        <v>1132.8</v>
      </c>
      <c r="N324" s="14"/>
    </row>
    <row r="325" spans="1:14" ht="15.75" customHeight="1" x14ac:dyDescent="0.35">
      <c r="A325" s="11">
        <v>320</v>
      </c>
      <c r="B325" s="8" t="s">
        <v>12</v>
      </c>
      <c r="C325" s="8" t="s">
        <v>23</v>
      </c>
      <c r="D325" s="8">
        <v>8406</v>
      </c>
      <c r="E325" s="8" t="s">
        <v>421</v>
      </c>
      <c r="F325" s="9">
        <v>810000997</v>
      </c>
      <c r="G325" s="10" t="s">
        <v>423</v>
      </c>
      <c r="H325" s="3">
        <v>405</v>
      </c>
      <c r="I325" s="4">
        <v>405</v>
      </c>
      <c r="J325" s="5">
        <v>163</v>
      </c>
      <c r="K325" s="6">
        <v>18</v>
      </c>
      <c r="L325" s="6">
        <f t="shared" si="5"/>
        <v>192.34</v>
      </c>
      <c r="M325" s="13">
        <f>L325/1</f>
        <v>192.34</v>
      </c>
      <c r="N325" s="14"/>
    </row>
    <row r="326" spans="1:14" ht="15.75" customHeight="1" x14ac:dyDescent="0.35">
      <c r="A326" s="11">
        <v>321</v>
      </c>
      <c r="B326" s="8" t="s">
        <v>19</v>
      </c>
      <c r="C326" s="8" t="s">
        <v>23</v>
      </c>
      <c r="D326" s="8">
        <v>8056</v>
      </c>
      <c r="E326" s="8" t="s">
        <v>424</v>
      </c>
      <c r="F326" s="9">
        <v>810000730</v>
      </c>
      <c r="G326" s="10" t="s">
        <v>425</v>
      </c>
      <c r="H326" s="3">
        <v>1601</v>
      </c>
      <c r="I326" s="4">
        <v>1601</v>
      </c>
      <c r="J326" s="5">
        <v>598</v>
      </c>
      <c r="K326" s="6">
        <v>18</v>
      </c>
      <c r="L326" s="6">
        <f t="shared" si="5"/>
        <v>705.64</v>
      </c>
      <c r="M326" s="13">
        <f>L326/1</f>
        <v>705.64</v>
      </c>
      <c r="N326" s="14"/>
    </row>
    <row r="327" spans="1:14" ht="15.75" customHeight="1" x14ac:dyDescent="0.35">
      <c r="A327" s="11">
        <v>322</v>
      </c>
      <c r="B327" s="8" t="s">
        <v>19</v>
      </c>
      <c r="C327" s="8" t="s">
        <v>23</v>
      </c>
      <c r="D327" s="8">
        <v>8056</v>
      </c>
      <c r="E327" s="8" t="s">
        <v>424</v>
      </c>
      <c r="F327" s="9">
        <v>810000728</v>
      </c>
      <c r="G327" s="10" t="s">
        <v>426</v>
      </c>
      <c r="H327" s="3">
        <v>871</v>
      </c>
      <c r="I327" s="4">
        <v>1742</v>
      </c>
      <c r="J327" s="5">
        <v>646</v>
      </c>
      <c r="K327" s="6">
        <v>18</v>
      </c>
      <c r="L327" s="6">
        <f t="shared" si="5"/>
        <v>762.28</v>
      </c>
      <c r="M327" s="13">
        <f>L327/2</f>
        <v>381.14</v>
      </c>
      <c r="N327" s="14"/>
    </row>
    <row r="328" spans="1:14" ht="15.75" customHeight="1" x14ac:dyDescent="0.35">
      <c r="A328" s="11">
        <v>323</v>
      </c>
      <c r="B328" s="8" t="s">
        <v>19</v>
      </c>
      <c r="C328" s="8" t="s">
        <v>23</v>
      </c>
      <c r="D328" s="8">
        <v>8056</v>
      </c>
      <c r="E328" s="8" t="s">
        <v>424</v>
      </c>
      <c r="F328" s="9">
        <v>810000726</v>
      </c>
      <c r="G328" s="10" t="s">
        <v>427</v>
      </c>
      <c r="H328" s="3">
        <v>471</v>
      </c>
      <c r="I328" s="4">
        <v>1884</v>
      </c>
      <c r="J328" s="5">
        <v>683</v>
      </c>
      <c r="K328" s="6">
        <v>18</v>
      </c>
      <c r="L328" s="6">
        <f t="shared" ref="L328:L391" si="6">J328*(100+K328)%</f>
        <v>805.93999999999994</v>
      </c>
      <c r="M328" s="13">
        <f>L328/4</f>
        <v>201.48499999999999</v>
      </c>
      <c r="N328" s="14"/>
    </row>
    <row r="329" spans="1:14" ht="15.75" customHeight="1" x14ac:dyDescent="0.35">
      <c r="A329" s="11">
        <v>324</v>
      </c>
      <c r="B329" s="8" t="s">
        <v>19</v>
      </c>
      <c r="C329" s="8" t="s">
        <v>23</v>
      </c>
      <c r="D329" s="8">
        <v>8056</v>
      </c>
      <c r="E329" s="8" t="s">
        <v>424</v>
      </c>
      <c r="F329" s="9">
        <v>810000725</v>
      </c>
      <c r="G329" s="10" t="s">
        <v>428</v>
      </c>
      <c r="H329" s="3">
        <v>211</v>
      </c>
      <c r="I329" s="4">
        <v>2110</v>
      </c>
      <c r="J329" s="5">
        <v>741</v>
      </c>
      <c r="K329" s="6">
        <v>18</v>
      </c>
      <c r="L329" s="6">
        <f t="shared" si="6"/>
        <v>874.38</v>
      </c>
      <c r="M329" s="13">
        <f>L329/10</f>
        <v>87.438000000000002</v>
      </c>
      <c r="N329" s="14"/>
    </row>
    <row r="330" spans="1:14" ht="15.75" customHeight="1" x14ac:dyDescent="0.35">
      <c r="A330" s="11">
        <v>325</v>
      </c>
      <c r="B330" s="8" t="s">
        <v>19</v>
      </c>
      <c r="C330" s="8" t="s">
        <v>23</v>
      </c>
      <c r="D330" s="8">
        <v>8056</v>
      </c>
      <c r="E330" s="8" t="s">
        <v>424</v>
      </c>
      <c r="F330" s="9">
        <v>810000727</v>
      </c>
      <c r="G330" s="10" t="s">
        <v>429</v>
      </c>
      <c r="H330" s="3">
        <v>21</v>
      </c>
      <c r="I330" s="4">
        <v>4200</v>
      </c>
      <c r="J330" s="5">
        <v>1471</v>
      </c>
      <c r="K330" s="6">
        <v>18</v>
      </c>
      <c r="L330" s="6">
        <f t="shared" si="6"/>
        <v>1735.78</v>
      </c>
      <c r="M330" s="13">
        <f>L330/1000*5</f>
        <v>8.6788999999999987</v>
      </c>
      <c r="N330" s="14"/>
    </row>
    <row r="331" spans="1:14" ht="15.75" customHeight="1" x14ac:dyDescent="0.35">
      <c r="A331" s="11">
        <v>326</v>
      </c>
      <c r="B331" s="8" t="s">
        <v>19</v>
      </c>
      <c r="C331" s="8" t="s">
        <v>23</v>
      </c>
      <c r="D331" s="8">
        <v>8057</v>
      </c>
      <c r="E331" s="8" t="s">
        <v>430</v>
      </c>
      <c r="F331" s="9">
        <v>810000733</v>
      </c>
      <c r="G331" s="10" t="s">
        <v>431</v>
      </c>
      <c r="H331" s="3">
        <v>2350</v>
      </c>
      <c r="I331" s="4">
        <v>2350</v>
      </c>
      <c r="J331" s="5">
        <v>704</v>
      </c>
      <c r="K331" s="6">
        <v>18</v>
      </c>
      <c r="L331" s="6">
        <f t="shared" si="6"/>
        <v>830.71999999999991</v>
      </c>
      <c r="M331" s="13">
        <f>L331/1</f>
        <v>830.71999999999991</v>
      </c>
      <c r="N331" s="14"/>
    </row>
    <row r="332" spans="1:14" ht="15.75" customHeight="1" x14ac:dyDescent="0.35">
      <c r="A332" s="11">
        <v>327</v>
      </c>
      <c r="B332" s="8" t="s">
        <v>19</v>
      </c>
      <c r="C332" s="8" t="s">
        <v>23</v>
      </c>
      <c r="D332" s="8">
        <v>8057</v>
      </c>
      <c r="E332" s="8" t="s">
        <v>430</v>
      </c>
      <c r="F332" s="9">
        <v>810000737</v>
      </c>
      <c r="G332" s="10" t="s">
        <v>432</v>
      </c>
      <c r="H332" s="3">
        <v>1200</v>
      </c>
      <c r="I332" s="4">
        <v>2400</v>
      </c>
      <c r="J332" s="5">
        <v>730</v>
      </c>
      <c r="K332" s="6">
        <v>18</v>
      </c>
      <c r="L332" s="6">
        <f t="shared" si="6"/>
        <v>861.4</v>
      </c>
      <c r="M332" s="13">
        <f>L332/2</f>
        <v>430.7</v>
      </c>
      <c r="N332" s="14"/>
    </row>
    <row r="333" spans="1:14" ht="15.75" customHeight="1" x14ac:dyDescent="0.35">
      <c r="A333" s="11">
        <v>328</v>
      </c>
      <c r="B333" s="8" t="s">
        <v>19</v>
      </c>
      <c r="C333" s="8" t="s">
        <v>23</v>
      </c>
      <c r="D333" s="8">
        <v>8057</v>
      </c>
      <c r="E333" s="8" t="s">
        <v>430</v>
      </c>
      <c r="F333" s="9">
        <v>810000735</v>
      </c>
      <c r="G333" s="10" t="s">
        <v>433</v>
      </c>
      <c r="H333" s="3">
        <v>613</v>
      </c>
      <c r="I333" s="4">
        <v>2452</v>
      </c>
      <c r="J333" s="5">
        <v>767</v>
      </c>
      <c r="K333" s="6">
        <v>18</v>
      </c>
      <c r="L333" s="6">
        <f t="shared" si="6"/>
        <v>905.06</v>
      </c>
      <c r="M333" s="13">
        <f>L333/4</f>
        <v>226.26499999999999</v>
      </c>
      <c r="N333" s="14"/>
    </row>
    <row r="334" spans="1:14" ht="15.75" customHeight="1" x14ac:dyDescent="0.35">
      <c r="A334" s="11">
        <v>329</v>
      </c>
      <c r="B334" s="8" t="s">
        <v>19</v>
      </c>
      <c r="C334" s="8" t="s">
        <v>23</v>
      </c>
      <c r="D334" s="8">
        <v>8057</v>
      </c>
      <c r="E334" s="8" t="s">
        <v>430</v>
      </c>
      <c r="F334" s="9">
        <v>810000734</v>
      </c>
      <c r="G334" s="10" t="s">
        <v>434</v>
      </c>
      <c r="H334" s="3">
        <v>260</v>
      </c>
      <c r="I334" s="4">
        <v>2600</v>
      </c>
      <c r="J334" s="5">
        <v>794</v>
      </c>
      <c r="K334" s="6">
        <v>18</v>
      </c>
      <c r="L334" s="6">
        <f t="shared" si="6"/>
        <v>936.92</v>
      </c>
      <c r="M334" s="13">
        <f>L334/10</f>
        <v>93.691999999999993</v>
      </c>
      <c r="N334" s="14"/>
    </row>
    <row r="335" spans="1:14" ht="15.75" customHeight="1" x14ac:dyDescent="0.35">
      <c r="A335" s="11">
        <v>330</v>
      </c>
      <c r="B335" s="8" t="s">
        <v>19</v>
      </c>
      <c r="C335" s="8" t="s">
        <v>23</v>
      </c>
      <c r="D335" s="8">
        <v>8057</v>
      </c>
      <c r="E335" s="8" t="s">
        <v>430</v>
      </c>
      <c r="F335" s="9">
        <v>810000736</v>
      </c>
      <c r="G335" s="10" t="s">
        <v>435</v>
      </c>
      <c r="H335" s="3">
        <v>138</v>
      </c>
      <c r="I335" s="4">
        <v>2760</v>
      </c>
      <c r="J335" s="5">
        <v>905</v>
      </c>
      <c r="K335" s="6">
        <v>18</v>
      </c>
      <c r="L335" s="6">
        <f t="shared" si="6"/>
        <v>1067.8999999999999</v>
      </c>
      <c r="M335" s="13">
        <f>L335/20</f>
        <v>53.394999999999996</v>
      </c>
      <c r="N335" s="14"/>
    </row>
    <row r="336" spans="1:14" ht="15.75" customHeight="1" x14ac:dyDescent="0.35">
      <c r="A336" s="11">
        <v>331</v>
      </c>
      <c r="B336" s="8" t="s">
        <v>19</v>
      </c>
      <c r="C336" s="8" t="s">
        <v>20</v>
      </c>
      <c r="D336" s="8">
        <v>8620</v>
      </c>
      <c r="E336" s="8" t="s">
        <v>436</v>
      </c>
      <c r="F336" s="9">
        <v>810001571</v>
      </c>
      <c r="G336" s="10" t="s">
        <v>437</v>
      </c>
      <c r="H336" s="3">
        <v>2100</v>
      </c>
      <c r="I336" s="4">
        <v>2100</v>
      </c>
      <c r="J336" s="5">
        <v>925</v>
      </c>
      <c r="K336" s="6">
        <v>18</v>
      </c>
      <c r="L336" s="6">
        <f t="shared" si="6"/>
        <v>1091.5</v>
      </c>
      <c r="M336" s="13">
        <f>L336/1</f>
        <v>1091.5</v>
      </c>
      <c r="N336" s="14" t="s">
        <v>593</v>
      </c>
    </row>
    <row r="337" spans="1:14" ht="15.75" customHeight="1" x14ac:dyDescent="0.35">
      <c r="A337" s="11">
        <v>332</v>
      </c>
      <c r="B337" s="8" t="s">
        <v>19</v>
      </c>
      <c r="C337" s="8" t="s">
        <v>20</v>
      </c>
      <c r="D337" s="8">
        <v>8620</v>
      </c>
      <c r="E337" s="8" t="s">
        <v>436</v>
      </c>
      <c r="F337" s="9">
        <v>810001572</v>
      </c>
      <c r="G337" s="10" t="s">
        <v>438</v>
      </c>
      <c r="H337" s="3">
        <v>1100</v>
      </c>
      <c r="I337" s="4">
        <v>2200</v>
      </c>
      <c r="J337" s="5">
        <v>945</v>
      </c>
      <c r="K337" s="6">
        <v>18</v>
      </c>
      <c r="L337" s="6">
        <f t="shared" si="6"/>
        <v>1115.0999999999999</v>
      </c>
      <c r="M337" s="13">
        <f>L337/2</f>
        <v>557.54999999999995</v>
      </c>
      <c r="N337" s="14" t="s">
        <v>593</v>
      </c>
    </row>
    <row r="338" spans="1:14" ht="15.75" customHeight="1" x14ac:dyDescent="0.35">
      <c r="A338" s="11">
        <v>333</v>
      </c>
      <c r="B338" s="8" t="s">
        <v>19</v>
      </c>
      <c r="C338" s="8" t="s">
        <v>20</v>
      </c>
      <c r="D338" s="8">
        <v>8471</v>
      </c>
      <c r="E338" s="8" t="s">
        <v>439</v>
      </c>
      <c r="F338" s="9">
        <v>810001082</v>
      </c>
      <c r="G338" s="10" t="s">
        <v>440</v>
      </c>
      <c r="H338" s="3">
        <v>192</v>
      </c>
      <c r="I338" s="4">
        <v>24000</v>
      </c>
      <c r="J338" s="5">
        <v>53</v>
      </c>
      <c r="K338" s="6">
        <v>18</v>
      </c>
      <c r="L338" s="6">
        <f t="shared" si="6"/>
        <v>62.54</v>
      </c>
      <c r="M338" s="13">
        <f>L338/1</f>
        <v>62.54</v>
      </c>
      <c r="N338" s="14"/>
    </row>
    <row r="339" spans="1:14" ht="15.75" customHeight="1" x14ac:dyDescent="0.35">
      <c r="A339" s="11">
        <v>334</v>
      </c>
      <c r="B339" s="8" t="s">
        <v>19</v>
      </c>
      <c r="C339" s="8" t="s">
        <v>23</v>
      </c>
      <c r="D339" s="8">
        <v>8614</v>
      </c>
      <c r="E339" s="8" t="s">
        <v>441</v>
      </c>
      <c r="F339" s="9">
        <v>810001559</v>
      </c>
      <c r="G339" s="10" t="s">
        <v>442</v>
      </c>
      <c r="H339" s="3">
        <v>4100</v>
      </c>
      <c r="I339" s="4">
        <v>4100</v>
      </c>
      <c r="J339" s="5">
        <v>2176</v>
      </c>
      <c r="K339" s="6">
        <v>18</v>
      </c>
      <c r="L339" s="6">
        <f t="shared" si="6"/>
        <v>2567.6799999999998</v>
      </c>
      <c r="M339" s="13">
        <f>L339/1</f>
        <v>2567.6799999999998</v>
      </c>
      <c r="N339" s="14"/>
    </row>
    <row r="340" spans="1:14" ht="15.75" customHeight="1" x14ac:dyDescent="0.35">
      <c r="A340" s="11">
        <v>335</v>
      </c>
      <c r="B340" s="8" t="s">
        <v>19</v>
      </c>
      <c r="C340" s="8" t="s">
        <v>23</v>
      </c>
      <c r="D340" s="8">
        <v>8614</v>
      </c>
      <c r="E340" s="8" t="s">
        <v>441</v>
      </c>
      <c r="F340" s="9">
        <v>810001560</v>
      </c>
      <c r="G340" s="10" t="s">
        <v>443</v>
      </c>
      <c r="H340" s="3">
        <v>2100</v>
      </c>
      <c r="I340" s="4">
        <v>4200</v>
      </c>
      <c r="J340" s="5">
        <v>2228</v>
      </c>
      <c r="K340" s="6">
        <v>18</v>
      </c>
      <c r="L340" s="6">
        <f t="shared" si="6"/>
        <v>2629.04</v>
      </c>
      <c r="M340" s="13">
        <f>L340/2</f>
        <v>1314.52</v>
      </c>
      <c r="N340" s="14"/>
    </row>
    <row r="341" spans="1:14" ht="15.75" customHeight="1" x14ac:dyDescent="0.35">
      <c r="A341" s="11">
        <v>336</v>
      </c>
      <c r="B341" s="8" t="s">
        <v>19</v>
      </c>
      <c r="C341" s="8" t="s">
        <v>23</v>
      </c>
      <c r="D341" s="8">
        <v>8614</v>
      </c>
      <c r="E341" s="8" t="s">
        <v>441</v>
      </c>
      <c r="F341" s="9">
        <v>810001561</v>
      </c>
      <c r="G341" s="10" t="s">
        <v>444</v>
      </c>
      <c r="H341" s="3">
        <v>1100</v>
      </c>
      <c r="I341" s="4">
        <v>4400</v>
      </c>
      <c r="J341" s="5">
        <v>2280</v>
      </c>
      <c r="K341" s="6">
        <v>18</v>
      </c>
      <c r="L341" s="6">
        <f t="shared" si="6"/>
        <v>2690.3999999999996</v>
      </c>
      <c r="M341" s="13">
        <f>L341/4</f>
        <v>672.59999999999991</v>
      </c>
      <c r="N341" s="14"/>
    </row>
    <row r="342" spans="1:14" ht="15.75" customHeight="1" x14ac:dyDescent="0.35">
      <c r="A342" s="11">
        <v>337</v>
      </c>
      <c r="B342" s="8" t="s">
        <v>19</v>
      </c>
      <c r="C342" s="8" t="s">
        <v>23</v>
      </c>
      <c r="D342" s="8">
        <v>8492</v>
      </c>
      <c r="E342" s="8" t="s">
        <v>445</v>
      </c>
      <c r="F342" s="9">
        <v>810001529</v>
      </c>
      <c r="G342" s="10" t="s">
        <v>446</v>
      </c>
      <c r="H342" s="3">
        <v>22000</v>
      </c>
      <c r="I342" s="4">
        <v>1100</v>
      </c>
      <c r="J342" s="5">
        <v>545</v>
      </c>
      <c r="K342" s="6">
        <v>18</v>
      </c>
      <c r="L342" s="6">
        <f t="shared" si="6"/>
        <v>643.1</v>
      </c>
      <c r="M342" s="13">
        <f>L342*20</f>
        <v>12862</v>
      </c>
      <c r="N342" s="14"/>
    </row>
    <row r="343" spans="1:14" ht="15.75" customHeight="1" x14ac:dyDescent="0.35">
      <c r="A343" s="11">
        <v>338</v>
      </c>
      <c r="B343" s="8" t="s">
        <v>19</v>
      </c>
      <c r="C343" s="8" t="s">
        <v>23</v>
      </c>
      <c r="D343" s="8">
        <v>8492</v>
      </c>
      <c r="E343" s="8" t="s">
        <v>445</v>
      </c>
      <c r="F343" s="9">
        <v>810001134</v>
      </c>
      <c r="G343" s="10" t="s">
        <v>447</v>
      </c>
      <c r="H343" s="3">
        <v>1200</v>
      </c>
      <c r="I343" s="4">
        <v>1200</v>
      </c>
      <c r="J343" s="5">
        <v>556</v>
      </c>
      <c r="K343" s="6">
        <v>18</v>
      </c>
      <c r="L343" s="6">
        <f t="shared" si="6"/>
        <v>656.07999999999993</v>
      </c>
      <c r="M343" s="13">
        <f>L343/1</f>
        <v>656.07999999999993</v>
      </c>
      <c r="N343" s="14"/>
    </row>
    <row r="344" spans="1:14" ht="15.75" customHeight="1" x14ac:dyDescent="0.35">
      <c r="A344" s="11">
        <v>339</v>
      </c>
      <c r="B344" s="8" t="s">
        <v>19</v>
      </c>
      <c r="C344" s="8" t="s">
        <v>23</v>
      </c>
      <c r="D344" s="8">
        <v>8492</v>
      </c>
      <c r="E344" s="8" t="s">
        <v>445</v>
      </c>
      <c r="F344" s="9">
        <v>810001135</v>
      </c>
      <c r="G344" s="10" t="s">
        <v>448</v>
      </c>
      <c r="H344" s="3">
        <v>650</v>
      </c>
      <c r="I344" s="4">
        <v>1300</v>
      </c>
      <c r="J344" s="5">
        <v>582</v>
      </c>
      <c r="K344" s="6">
        <v>18</v>
      </c>
      <c r="L344" s="6">
        <f t="shared" si="6"/>
        <v>686.76</v>
      </c>
      <c r="M344" s="13">
        <f>L344/2</f>
        <v>343.38</v>
      </c>
      <c r="N344" s="14"/>
    </row>
    <row r="345" spans="1:14" ht="15.75" customHeight="1" x14ac:dyDescent="0.35">
      <c r="A345" s="11">
        <v>340</v>
      </c>
      <c r="B345" s="8" t="s">
        <v>19</v>
      </c>
      <c r="C345" s="8" t="s">
        <v>23</v>
      </c>
      <c r="D345" s="8">
        <v>8492</v>
      </c>
      <c r="E345" s="8" t="s">
        <v>445</v>
      </c>
      <c r="F345" s="9">
        <v>810001136</v>
      </c>
      <c r="G345" s="10" t="s">
        <v>449</v>
      </c>
      <c r="H345" s="3">
        <v>350</v>
      </c>
      <c r="I345" s="4">
        <v>1400</v>
      </c>
      <c r="J345" s="5">
        <v>614</v>
      </c>
      <c r="K345" s="6">
        <v>18</v>
      </c>
      <c r="L345" s="6">
        <f t="shared" si="6"/>
        <v>724.52</v>
      </c>
      <c r="M345" s="13">
        <f>L345/4</f>
        <v>181.13</v>
      </c>
      <c r="N345" s="14"/>
    </row>
    <row r="346" spans="1:14" ht="15.75" customHeight="1" x14ac:dyDescent="0.35">
      <c r="A346" s="11">
        <v>341</v>
      </c>
      <c r="B346" s="8" t="s">
        <v>19</v>
      </c>
      <c r="C346" s="8" t="s">
        <v>23</v>
      </c>
      <c r="D346" s="8">
        <v>8492</v>
      </c>
      <c r="E346" s="8" t="s">
        <v>445</v>
      </c>
      <c r="F346" s="9">
        <v>810001253</v>
      </c>
      <c r="G346" s="10" t="s">
        <v>450</v>
      </c>
      <c r="H346" s="3">
        <v>175</v>
      </c>
      <c r="I346" s="4">
        <v>1750</v>
      </c>
      <c r="J346" s="5">
        <v>714</v>
      </c>
      <c r="K346" s="6">
        <v>18</v>
      </c>
      <c r="L346" s="6">
        <f t="shared" si="6"/>
        <v>842.52</v>
      </c>
      <c r="M346" s="13">
        <f>L346/10</f>
        <v>84.251999999999995</v>
      </c>
      <c r="N346" s="14"/>
    </row>
    <row r="347" spans="1:14" ht="15.75" customHeight="1" x14ac:dyDescent="0.35">
      <c r="A347" s="11">
        <v>342</v>
      </c>
      <c r="B347" s="8" t="s">
        <v>19</v>
      </c>
      <c r="C347" s="8" t="s">
        <v>20</v>
      </c>
      <c r="D347" s="8">
        <v>8552</v>
      </c>
      <c r="E347" s="8" t="s">
        <v>451</v>
      </c>
      <c r="F347" s="9">
        <v>810001361</v>
      </c>
      <c r="G347" s="10" t="s">
        <v>452</v>
      </c>
      <c r="H347" s="3">
        <v>2300</v>
      </c>
      <c r="I347" s="4">
        <v>2300</v>
      </c>
      <c r="J347" s="5">
        <v>1082</v>
      </c>
      <c r="K347" s="6">
        <v>18</v>
      </c>
      <c r="L347" s="6">
        <f t="shared" si="6"/>
        <v>1276.76</v>
      </c>
      <c r="M347" s="13">
        <f>L347/1</f>
        <v>1276.76</v>
      </c>
      <c r="N347" s="14"/>
    </row>
    <row r="348" spans="1:14" ht="15.75" customHeight="1" x14ac:dyDescent="0.35">
      <c r="A348" s="11">
        <v>343</v>
      </c>
      <c r="B348" s="8" t="s">
        <v>19</v>
      </c>
      <c r="C348" s="8" t="s">
        <v>20</v>
      </c>
      <c r="D348" s="8">
        <v>8552</v>
      </c>
      <c r="E348" s="8" t="s">
        <v>451</v>
      </c>
      <c r="F348" s="9">
        <v>810001362</v>
      </c>
      <c r="G348" s="10" t="s">
        <v>453</v>
      </c>
      <c r="H348" s="3">
        <v>1000</v>
      </c>
      <c r="I348" s="4">
        <v>2500</v>
      </c>
      <c r="J348" s="5">
        <v>1134</v>
      </c>
      <c r="K348" s="6">
        <v>18</v>
      </c>
      <c r="L348" s="6">
        <f t="shared" si="6"/>
        <v>1338.12</v>
      </c>
      <c r="M348" s="13">
        <f>L348/1000*400</f>
        <v>535.24800000000005</v>
      </c>
      <c r="N348" s="14"/>
    </row>
    <row r="349" spans="1:14" ht="15.75" customHeight="1" x14ac:dyDescent="0.35">
      <c r="A349" s="11">
        <v>344</v>
      </c>
      <c r="B349" s="8" t="s">
        <v>31</v>
      </c>
      <c r="C349" s="8" t="s">
        <v>20</v>
      </c>
      <c r="D349" s="8">
        <v>8060</v>
      </c>
      <c r="E349" s="8" t="s">
        <v>454</v>
      </c>
      <c r="F349" s="9">
        <v>810001204</v>
      </c>
      <c r="G349" s="10" t="s">
        <v>455</v>
      </c>
      <c r="H349" s="3">
        <v>120000</v>
      </c>
      <c r="I349" s="4">
        <v>600</v>
      </c>
      <c r="J349" s="5">
        <v>275</v>
      </c>
      <c r="K349" s="6">
        <v>18</v>
      </c>
      <c r="L349" s="6">
        <f t="shared" si="6"/>
        <v>324.5</v>
      </c>
      <c r="M349" s="13">
        <f>L349*200</f>
        <v>64900</v>
      </c>
      <c r="N349" s="14" t="s">
        <v>593</v>
      </c>
    </row>
    <row r="350" spans="1:14" ht="15.75" customHeight="1" x14ac:dyDescent="0.35">
      <c r="A350" s="11">
        <v>345</v>
      </c>
      <c r="B350" s="8" t="s">
        <v>31</v>
      </c>
      <c r="C350" s="8" t="s">
        <v>20</v>
      </c>
      <c r="D350" s="8">
        <v>8060</v>
      </c>
      <c r="E350" s="8" t="s">
        <v>454</v>
      </c>
      <c r="F350" s="9">
        <v>810000488</v>
      </c>
      <c r="G350" s="10" t="s">
        <v>456</v>
      </c>
      <c r="H350" s="3">
        <v>12500</v>
      </c>
      <c r="I350" s="4">
        <v>625</v>
      </c>
      <c r="J350" s="5">
        <v>285</v>
      </c>
      <c r="K350" s="6">
        <v>18</v>
      </c>
      <c r="L350" s="6">
        <f t="shared" si="6"/>
        <v>336.29999999999995</v>
      </c>
      <c r="M350" s="13">
        <f>L350*20</f>
        <v>6725.9999999999991</v>
      </c>
      <c r="N350" s="14" t="s">
        <v>593</v>
      </c>
    </row>
    <row r="351" spans="1:14" ht="15.75" customHeight="1" x14ac:dyDescent="0.35">
      <c r="A351" s="11">
        <v>346</v>
      </c>
      <c r="B351" s="8" t="s">
        <v>31</v>
      </c>
      <c r="C351" s="8" t="s">
        <v>20</v>
      </c>
      <c r="D351" s="8">
        <v>8060</v>
      </c>
      <c r="E351" s="8" t="s">
        <v>454</v>
      </c>
      <c r="F351" s="9">
        <v>810000491</v>
      </c>
      <c r="G351" s="10" t="s">
        <v>457</v>
      </c>
      <c r="H351" s="3">
        <v>3150</v>
      </c>
      <c r="I351" s="4">
        <v>630</v>
      </c>
      <c r="J351" s="5">
        <v>290</v>
      </c>
      <c r="K351" s="6">
        <v>18</v>
      </c>
      <c r="L351" s="6">
        <f t="shared" si="6"/>
        <v>342.2</v>
      </c>
      <c r="M351" s="13">
        <f>L351*5</f>
        <v>1711</v>
      </c>
      <c r="N351" s="14" t="s">
        <v>593</v>
      </c>
    </row>
    <row r="352" spans="1:14" ht="15.75" customHeight="1" x14ac:dyDescent="0.35">
      <c r="A352" s="11">
        <v>347</v>
      </c>
      <c r="B352" s="8" t="s">
        <v>31</v>
      </c>
      <c r="C352" s="8" t="s">
        <v>20</v>
      </c>
      <c r="D352" s="8">
        <v>8060</v>
      </c>
      <c r="E352" s="8" t="s">
        <v>454</v>
      </c>
      <c r="F352" s="9">
        <v>810000487</v>
      </c>
      <c r="G352" s="10" t="s">
        <v>458</v>
      </c>
      <c r="H352" s="3">
        <v>650</v>
      </c>
      <c r="I352" s="4">
        <v>650</v>
      </c>
      <c r="J352" s="5">
        <v>300</v>
      </c>
      <c r="K352" s="6">
        <v>18</v>
      </c>
      <c r="L352" s="6">
        <f t="shared" si="6"/>
        <v>354</v>
      </c>
      <c r="M352" s="13">
        <f>L352/1</f>
        <v>354</v>
      </c>
      <c r="N352" s="14" t="s">
        <v>593</v>
      </c>
    </row>
    <row r="353" spans="1:14" ht="15.75" customHeight="1" x14ac:dyDescent="0.35">
      <c r="A353" s="11">
        <v>348</v>
      </c>
      <c r="B353" s="8" t="s">
        <v>31</v>
      </c>
      <c r="C353" s="8" t="s">
        <v>20</v>
      </c>
      <c r="D353" s="8">
        <v>8060</v>
      </c>
      <c r="E353" s="8" t="s">
        <v>454</v>
      </c>
      <c r="F353" s="9">
        <v>810000494</v>
      </c>
      <c r="G353" s="10" t="s">
        <v>459</v>
      </c>
      <c r="H353" s="3">
        <v>350</v>
      </c>
      <c r="I353" s="4">
        <v>700</v>
      </c>
      <c r="J353" s="5">
        <v>310</v>
      </c>
      <c r="K353" s="6">
        <v>18</v>
      </c>
      <c r="L353" s="6">
        <f t="shared" si="6"/>
        <v>365.79999999999995</v>
      </c>
      <c r="M353" s="13">
        <f>L353/2</f>
        <v>182.89999999999998</v>
      </c>
      <c r="N353" s="14" t="s">
        <v>593</v>
      </c>
    </row>
    <row r="354" spans="1:14" ht="15.75" customHeight="1" x14ac:dyDescent="0.35">
      <c r="A354" s="11">
        <v>349</v>
      </c>
      <c r="B354" s="8" t="s">
        <v>31</v>
      </c>
      <c r="C354" s="8" t="s">
        <v>20</v>
      </c>
      <c r="D354" s="8">
        <v>8060</v>
      </c>
      <c r="E354" s="8" t="s">
        <v>454</v>
      </c>
      <c r="F354" s="9">
        <v>810000489</v>
      </c>
      <c r="G354" s="10" t="s">
        <v>460</v>
      </c>
      <c r="H354" s="3">
        <v>200</v>
      </c>
      <c r="I354" s="4">
        <v>800</v>
      </c>
      <c r="J354" s="5">
        <v>340</v>
      </c>
      <c r="K354" s="6">
        <v>18</v>
      </c>
      <c r="L354" s="6">
        <f t="shared" si="6"/>
        <v>401.2</v>
      </c>
      <c r="M354" s="13">
        <f>L354/4</f>
        <v>100.3</v>
      </c>
      <c r="N354" s="14" t="s">
        <v>593</v>
      </c>
    </row>
    <row r="355" spans="1:14" ht="15.75" customHeight="1" x14ac:dyDescent="0.35">
      <c r="A355" s="11">
        <v>350</v>
      </c>
      <c r="B355" s="8" t="s">
        <v>19</v>
      </c>
      <c r="C355" s="8" t="s">
        <v>23</v>
      </c>
      <c r="D355" s="8">
        <v>8061</v>
      </c>
      <c r="E355" s="8" t="s">
        <v>461</v>
      </c>
      <c r="F355" s="9">
        <v>810000203</v>
      </c>
      <c r="G355" s="10" t="s">
        <v>462</v>
      </c>
      <c r="H355" s="3">
        <v>1850</v>
      </c>
      <c r="I355" s="4">
        <v>3700</v>
      </c>
      <c r="J355" s="5">
        <v>1582</v>
      </c>
      <c r="K355" s="6">
        <v>18</v>
      </c>
      <c r="L355" s="6">
        <f t="shared" si="6"/>
        <v>1866.76</v>
      </c>
      <c r="M355" s="13">
        <f>L355/2</f>
        <v>933.38</v>
      </c>
      <c r="N355" s="14"/>
    </row>
    <row r="356" spans="1:14" ht="15.75" customHeight="1" x14ac:dyDescent="0.35">
      <c r="A356" s="11">
        <v>351</v>
      </c>
      <c r="B356" s="8" t="s">
        <v>19</v>
      </c>
      <c r="C356" s="8" t="s">
        <v>23</v>
      </c>
      <c r="D356" s="8">
        <v>8061</v>
      </c>
      <c r="E356" s="8" t="s">
        <v>461</v>
      </c>
      <c r="F356" s="9">
        <v>810000201</v>
      </c>
      <c r="G356" s="10" t="s">
        <v>463</v>
      </c>
      <c r="H356" s="3">
        <v>975</v>
      </c>
      <c r="I356" s="4">
        <v>3900</v>
      </c>
      <c r="J356" s="5">
        <v>1635</v>
      </c>
      <c r="K356" s="6">
        <v>18</v>
      </c>
      <c r="L356" s="6">
        <f t="shared" si="6"/>
        <v>1929.3</v>
      </c>
      <c r="M356" s="13">
        <f>L356/4</f>
        <v>482.32499999999999</v>
      </c>
      <c r="N356" s="14"/>
    </row>
    <row r="357" spans="1:14" ht="15.75" customHeight="1" x14ac:dyDescent="0.35">
      <c r="A357" s="11">
        <v>352</v>
      </c>
      <c r="B357" s="8" t="s">
        <v>19</v>
      </c>
      <c r="C357" s="8" t="s">
        <v>23</v>
      </c>
      <c r="D357" s="8">
        <v>8061</v>
      </c>
      <c r="E357" s="8" t="s">
        <v>461</v>
      </c>
      <c r="F357" s="9">
        <v>810000199</v>
      </c>
      <c r="G357" s="10" t="s">
        <v>464</v>
      </c>
      <c r="H357" s="3">
        <v>105</v>
      </c>
      <c r="I357" s="4">
        <v>4200</v>
      </c>
      <c r="J357" s="5">
        <v>1741</v>
      </c>
      <c r="K357" s="6">
        <v>18</v>
      </c>
      <c r="L357" s="6">
        <f t="shared" si="6"/>
        <v>2054.38</v>
      </c>
      <c r="M357" s="13">
        <f>L357/40</f>
        <v>51.359500000000004</v>
      </c>
      <c r="N357" s="14"/>
    </row>
    <row r="358" spans="1:14" ht="15.75" customHeight="1" x14ac:dyDescent="0.35">
      <c r="A358" s="11">
        <v>353</v>
      </c>
      <c r="B358" s="8" t="s">
        <v>19</v>
      </c>
      <c r="C358" s="8" t="s">
        <v>45</v>
      </c>
      <c r="D358" s="8">
        <v>8062</v>
      </c>
      <c r="E358" s="8" t="s">
        <v>465</v>
      </c>
      <c r="F358" s="9">
        <v>810000233</v>
      </c>
      <c r="G358" s="10" t="s">
        <v>466</v>
      </c>
      <c r="H358" s="3">
        <v>1750</v>
      </c>
      <c r="I358" s="4">
        <v>1750</v>
      </c>
      <c r="J358" s="5">
        <v>794</v>
      </c>
      <c r="K358" s="6">
        <v>18</v>
      </c>
      <c r="L358" s="6">
        <f t="shared" si="6"/>
        <v>936.92</v>
      </c>
      <c r="M358" s="13">
        <f>L358/1</f>
        <v>936.92</v>
      </c>
      <c r="N358" s="14"/>
    </row>
    <row r="359" spans="1:14" ht="15.75" customHeight="1" x14ac:dyDescent="0.35">
      <c r="A359" s="11">
        <v>354</v>
      </c>
      <c r="B359" s="8" t="s">
        <v>19</v>
      </c>
      <c r="C359" s="8" t="s">
        <v>45</v>
      </c>
      <c r="D359" s="8">
        <v>8062</v>
      </c>
      <c r="E359" s="8" t="s">
        <v>465</v>
      </c>
      <c r="F359" s="9">
        <v>810000236</v>
      </c>
      <c r="G359" s="10" t="s">
        <v>467</v>
      </c>
      <c r="H359" s="3">
        <v>925</v>
      </c>
      <c r="I359" s="4">
        <v>1850</v>
      </c>
      <c r="J359" s="5">
        <v>820</v>
      </c>
      <c r="K359" s="6">
        <v>18</v>
      </c>
      <c r="L359" s="6">
        <f t="shared" si="6"/>
        <v>967.59999999999991</v>
      </c>
      <c r="M359" s="13">
        <f>L359/2</f>
        <v>483.79999999999995</v>
      </c>
      <c r="N359" s="14"/>
    </row>
    <row r="360" spans="1:14" ht="15.75" customHeight="1" x14ac:dyDescent="0.35">
      <c r="A360" s="11">
        <v>355</v>
      </c>
      <c r="B360" s="8" t="s">
        <v>19</v>
      </c>
      <c r="C360" s="8" t="s">
        <v>45</v>
      </c>
      <c r="D360" s="8">
        <v>8062</v>
      </c>
      <c r="E360" s="8" t="s">
        <v>465</v>
      </c>
      <c r="F360" s="9">
        <v>810000235</v>
      </c>
      <c r="G360" s="10" t="s">
        <v>468</v>
      </c>
      <c r="H360" s="3">
        <v>500</v>
      </c>
      <c r="I360" s="4">
        <v>2000</v>
      </c>
      <c r="J360" s="5">
        <v>847</v>
      </c>
      <c r="K360" s="6">
        <v>18</v>
      </c>
      <c r="L360" s="6">
        <f t="shared" si="6"/>
        <v>999.45999999999992</v>
      </c>
      <c r="M360" s="13">
        <f>L360/4</f>
        <v>249.86499999999998</v>
      </c>
      <c r="N360" s="14"/>
    </row>
    <row r="361" spans="1:14" ht="15.75" customHeight="1" x14ac:dyDescent="0.35">
      <c r="A361" s="11">
        <v>356</v>
      </c>
      <c r="B361" s="8" t="s">
        <v>19</v>
      </c>
      <c r="C361" s="8" t="s">
        <v>45</v>
      </c>
      <c r="D361" s="8">
        <v>8062</v>
      </c>
      <c r="E361" s="8" t="s">
        <v>465</v>
      </c>
      <c r="F361" s="9">
        <v>810000234</v>
      </c>
      <c r="G361" s="10" t="s">
        <v>469</v>
      </c>
      <c r="H361" s="3">
        <v>215</v>
      </c>
      <c r="I361" s="4">
        <v>2150</v>
      </c>
      <c r="J361" s="5">
        <v>884</v>
      </c>
      <c r="K361" s="6">
        <v>18</v>
      </c>
      <c r="L361" s="6">
        <f t="shared" si="6"/>
        <v>1043.1199999999999</v>
      </c>
      <c r="M361" s="13">
        <f>L361/10</f>
        <v>104.31199999999998</v>
      </c>
      <c r="N361" s="14"/>
    </row>
    <row r="362" spans="1:14" ht="15.75" customHeight="1" x14ac:dyDescent="0.35">
      <c r="A362" s="11">
        <v>357</v>
      </c>
      <c r="B362" s="8" t="s">
        <v>19</v>
      </c>
      <c r="C362" s="8" t="s">
        <v>23</v>
      </c>
      <c r="D362" s="8">
        <v>8063</v>
      </c>
      <c r="E362" s="8" t="s">
        <v>470</v>
      </c>
      <c r="F362" s="9">
        <v>810000257</v>
      </c>
      <c r="G362" s="10" t="s">
        <v>471</v>
      </c>
      <c r="H362" s="3">
        <v>625</v>
      </c>
      <c r="I362" s="4">
        <v>125</v>
      </c>
      <c r="J362" s="5">
        <v>58</v>
      </c>
      <c r="K362" s="6">
        <v>18</v>
      </c>
      <c r="L362" s="6">
        <f t="shared" si="6"/>
        <v>68.44</v>
      </c>
      <c r="M362" s="13">
        <f>L362*5</f>
        <v>342.2</v>
      </c>
      <c r="N362" s="14"/>
    </row>
    <row r="363" spans="1:14" ht="15.75" customHeight="1" x14ac:dyDescent="0.35">
      <c r="A363" s="11">
        <v>358</v>
      </c>
      <c r="B363" s="8" t="s">
        <v>19</v>
      </c>
      <c r="C363" s="8" t="s">
        <v>23</v>
      </c>
      <c r="D363" s="8">
        <v>8063</v>
      </c>
      <c r="E363" s="8" t="s">
        <v>470</v>
      </c>
      <c r="F363" s="9">
        <v>810000256</v>
      </c>
      <c r="G363" s="10" t="s">
        <v>472</v>
      </c>
      <c r="H363" s="3">
        <v>135</v>
      </c>
      <c r="I363" s="4">
        <v>135</v>
      </c>
      <c r="J363" s="5">
        <v>61</v>
      </c>
      <c r="K363" s="6">
        <v>18</v>
      </c>
      <c r="L363" s="6">
        <f t="shared" si="6"/>
        <v>71.97999999999999</v>
      </c>
      <c r="M363" s="13">
        <f>L363/1</f>
        <v>71.97999999999999</v>
      </c>
      <c r="N363" s="14"/>
    </row>
    <row r="364" spans="1:14" ht="15.75" customHeight="1" x14ac:dyDescent="0.35">
      <c r="A364" s="11">
        <v>359</v>
      </c>
      <c r="B364" s="8" t="s">
        <v>19</v>
      </c>
      <c r="C364" s="8" t="s">
        <v>23</v>
      </c>
      <c r="D364" s="8">
        <v>8064</v>
      </c>
      <c r="E364" s="8" t="s">
        <v>473</v>
      </c>
      <c r="F364" s="9">
        <v>810000259</v>
      </c>
      <c r="G364" s="10" t="s">
        <v>474</v>
      </c>
      <c r="H364" s="3">
        <v>1500</v>
      </c>
      <c r="I364" s="4">
        <v>1500</v>
      </c>
      <c r="J364" s="5">
        <v>624</v>
      </c>
      <c r="K364" s="6">
        <v>18</v>
      </c>
      <c r="L364" s="6">
        <f t="shared" si="6"/>
        <v>736.31999999999994</v>
      </c>
      <c r="M364" s="13">
        <f>L364/1</f>
        <v>736.31999999999994</v>
      </c>
      <c r="N364" s="14"/>
    </row>
    <row r="365" spans="1:14" ht="15.75" customHeight="1" x14ac:dyDescent="0.35">
      <c r="A365" s="11">
        <v>360</v>
      </c>
      <c r="B365" s="8" t="s">
        <v>19</v>
      </c>
      <c r="C365" s="8" t="s">
        <v>23</v>
      </c>
      <c r="D365" s="8">
        <v>8064</v>
      </c>
      <c r="E365" s="8" t="s">
        <v>473</v>
      </c>
      <c r="F365" s="9">
        <v>810000264</v>
      </c>
      <c r="G365" s="10" t="s">
        <v>475</v>
      </c>
      <c r="H365" s="3">
        <v>800</v>
      </c>
      <c r="I365" s="4">
        <v>1600</v>
      </c>
      <c r="J365" s="5">
        <v>646</v>
      </c>
      <c r="K365" s="6">
        <v>18</v>
      </c>
      <c r="L365" s="6">
        <f t="shared" si="6"/>
        <v>762.28</v>
      </c>
      <c r="M365" s="13">
        <f>L365/2</f>
        <v>381.14</v>
      </c>
      <c r="N365" s="14"/>
    </row>
    <row r="366" spans="1:14" ht="15.75" customHeight="1" x14ac:dyDescent="0.35">
      <c r="A366" s="11">
        <v>361</v>
      </c>
      <c r="B366" s="8" t="s">
        <v>19</v>
      </c>
      <c r="C366" s="8" t="s">
        <v>23</v>
      </c>
      <c r="D366" s="8">
        <v>8064</v>
      </c>
      <c r="E366" s="8" t="s">
        <v>473</v>
      </c>
      <c r="F366" s="9">
        <v>810000263</v>
      </c>
      <c r="G366" s="10" t="s">
        <v>476</v>
      </c>
      <c r="H366" s="3">
        <v>425</v>
      </c>
      <c r="I366" s="4">
        <v>1700</v>
      </c>
      <c r="J366" s="5">
        <v>677</v>
      </c>
      <c r="K366" s="6">
        <v>18</v>
      </c>
      <c r="L366" s="6">
        <f t="shared" si="6"/>
        <v>798.86</v>
      </c>
      <c r="M366" s="13">
        <f>L366/4</f>
        <v>199.715</v>
      </c>
      <c r="N366" s="14"/>
    </row>
    <row r="367" spans="1:14" ht="15.75" customHeight="1" x14ac:dyDescent="0.35">
      <c r="A367" s="11">
        <v>362</v>
      </c>
      <c r="B367" s="8" t="s">
        <v>19</v>
      </c>
      <c r="C367" s="8" t="s">
        <v>23</v>
      </c>
      <c r="D367" s="8">
        <v>8064</v>
      </c>
      <c r="E367" s="8" t="s">
        <v>473</v>
      </c>
      <c r="F367" s="9">
        <v>810000260</v>
      </c>
      <c r="G367" s="10" t="s">
        <v>477</v>
      </c>
      <c r="H367" s="3">
        <v>190</v>
      </c>
      <c r="I367" s="4">
        <v>1900</v>
      </c>
      <c r="J367" s="5">
        <v>741</v>
      </c>
      <c r="K367" s="6">
        <v>18</v>
      </c>
      <c r="L367" s="6">
        <f t="shared" si="6"/>
        <v>874.38</v>
      </c>
      <c r="M367" s="13">
        <f>L367/10</f>
        <v>87.438000000000002</v>
      </c>
      <c r="N367" s="14"/>
    </row>
    <row r="368" spans="1:14" ht="15.75" customHeight="1" x14ac:dyDescent="0.35">
      <c r="A368" s="11">
        <v>363</v>
      </c>
      <c r="B368" s="8" t="s">
        <v>104</v>
      </c>
      <c r="C368" s="8" t="s">
        <v>23</v>
      </c>
      <c r="D368" s="8">
        <v>8602</v>
      </c>
      <c r="E368" s="8" t="s">
        <v>478</v>
      </c>
      <c r="F368" s="9">
        <v>810001516</v>
      </c>
      <c r="G368" s="10" t="s">
        <v>479</v>
      </c>
      <c r="H368" s="3">
        <v>3000</v>
      </c>
      <c r="I368" s="4">
        <v>40000</v>
      </c>
      <c r="J368" s="5">
        <v>18667</v>
      </c>
      <c r="K368" s="6">
        <v>18</v>
      </c>
      <c r="L368" s="6">
        <f t="shared" si="6"/>
        <v>22027.059999999998</v>
      </c>
      <c r="M368" s="13">
        <f>L368/1000*75</f>
        <v>1652.0294999999999</v>
      </c>
      <c r="N368" s="14" t="s">
        <v>593</v>
      </c>
    </row>
    <row r="369" spans="1:14" ht="15.75" customHeight="1" x14ac:dyDescent="0.35">
      <c r="A369" s="11">
        <v>364</v>
      </c>
      <c r="B369" s="8" t="s">
        <v>104</v>
      </c>
      <c r="C369" s="8" t="s">
        <v>23</v>
      </c>
      <c r="D369" s="8">
        <v>8602</v>
      </c>
      <c r="E369" s="8" t="s">
        <v>478</v>
      </c>
      <c r="F369" s="9">
        <v>810001517</v>
      </c>
      <c r="G369" s="10" t="s">
        <v>480</v>
      </c>
      <c r="H369" s="3">
        <v>315</v>
      </c>
      <c r="I369" s="4">
        <v>45000</v>
      </c>
      <c r="J369" s="5">
        <v>20667</v>
      </c>
      <c r="K369" s="6">
        <v>18</v>
      </c>
      <c r="L369" s="6">
        <f t="shared" si="6"/>
        <v>24387.059999999998</v>
      </c>
      <c r="M369" s="13">
        <f>L369/1000*7</f>
        <v>170.70941999999999</v>
      </c>
      <c r="N369" s="14" t="s">
        <v>593</v>
      </c>
    </row>
    <row r="370" spans="1:14" ht="15.75" customHeight="1" x14ac:dyDescent="0.35">
      <c r="A370" s="11">
        <v>365</v>
      </c>
      <c r="B370" s="8" t="s">
        <v>104</v>
      </c>
      <c r="C370" s="8" t="s">
        <v>23</v>
      </c>
      <c r="D370" s="8">
        <v>8539</v>
      </c>
      <c r="E370" s="8" t="s">
        <v>481</v>
      </c>
      <c r="F370" s="9">
        <v>810001320</v>
      </c>
      <c r="G370" s="10" t="s">
        <v>482</v>
      </c>
      <c r="H370" s="3">
        <v>30000</v>
      </c>
      <c r="I370" s="4">
        <v>6000</v>
      </c>
      <c r="J370" s="5">
        <v>2672</v>
      </c>
      <c r="K370" s="6">
        <v>18</v>
      </c>
      <c r="L370" s="6">
        <f t="shared" si="6"/>
        <v>3152.96</v>
      </c>
      <c r="M370" s="13">
        <f>L370*5</f>
        <v>15764.8</v>
      </c>
      <c r="N370" s="14"/>
    </row>
    <row r="371" spans="1:14" ht="15.75" customHeight="1" x14ac:dyDescent="0.35">
      <c r="A371" s="11">
        <v>366</v>
      </c>
      <c r="B371" s="8" t="s">
        <v>104</v>
      </c>
      <c r="C371" s="8" t="s">
        <v>23</v>
      </c>
      <c r="D371" s="8">
        <v>8539</v>
      </c>
      <c r="E371" s="8" t="s">
        <v>481</v>
      </c>
      <c r="F371" s="9">
        <v>810001321</v>
      </c>
      <c r="G371" s="10" t="s">
        <v>483</v>
      </c>
      <c r="H371" s="3">
        <v>6100</v>
      </c>
      <c r="I371" s="4">
        <v>6100</v>
      </c>
      <c r="J371" s="5">
        <v>2698</v>
      </c>
      <c r="K371" s="6">
        <v>18</v>
      </c>
      <c r="L371" s="6">
        <f t="shared" si="6"/>
        <v>3183.64</v>
      </c>
      <c r="M371" s="13">
        <f>L371/1</f>
        <v>3183.64</v>
      </c>
      <c r="N371" s="14"/>
    </row>
    <row r="372" spans="1:14" ht="15.75" customHeight="1" x14ac:dyDescent="0.35">
      <c r="A372" s="11">
        <v>367</v>
      </c>
      <c r="B372" s="8" t="s">
        <v>104</v>
      </c>
      <c r="C372" s="8" t="s">
        <v>23</v>
      </c>
      <c r="D372" s="8">
        <v>8539</v>
      </c>
      <c r="E372" s="8" t="s">
        <v>481</v>
      </c>
      <c r="F372" s="9">
        <v>810001322</v>
      </c>
      <c r="G372" s="10" t="s">
        <v>484</v>
      </c>
      <c r="H372" s="3">
        <v>3100</v>
      </c>
      <c r="I372" s="4">
        <v>6200</v>
      </c>
      <c r="J372" s="5">
        <v>2751</v>
      </c>
      <c r="K372" s="6">
        <v>18</v>
      </c>
      <c r="L372" s="6">
        <f t="shared" si="6"/>
        <v>3246.18</v>
      </c>
      <c r="M372" s="13">
        <f>L372/2</f>
        <v>1623.09</v>
      </c>
      <c r="N372" s="14"/>
    </row>
    <row r="373" spans="1:14" ht="15.75" customHeight="1" x14ac:dyDescent="0.35">
      <c r="A373" s="11">
        <v>368</v>
      </c>
      <c r="B373" s="8" t="s">
        <v>104</v>
      </c>
      <c r="C373" s="8" t="s">
        <v>23</v>
      </c>
      <c r="D373" s="8">
        <v>8539</v>
      </c>
      <c r="E373" s="8" t="s">
        <v>481</v>
      </c>
      <c r="F373" s="9">
        <v>810001323</v>
      </c>
      <c r="G373" s="10" t="s">
        <v>485</v>
      </c>
      <c r="H373" s="3">
        <v>1300</v>
      </c>
      <c r="I373" s="4">
        <v>6500</v>
      </c>
      <c r="J373" s="5">
        <v>2831</v>
      </c>
      <c r="K373" s="6">
        <v>18</v>
      </c>
      <c r="L373" s="6">
        <f t="shared" si="6"/>
        <v>3340.58</v>
      </c>
      <c r="M373" s="13">
        <f>L373/5</f>
        <v>668.11599999999999</v>
      </c>
      <c r="N373" s="14"/>
    </row>
    <row r="374" spans="1:14" ht="15.75" customHeight="1" x14ac:dyDescent="0.35">
      <c r="A374" s="11">
        <v>369</v>
      </c>
      <c r="B374" s="8" t="s">
        <v>104</v>
      </c>
      <c r="C374" s="8" t="s">
        <v>23</v>
      </c>
      <c r="D374" s="8">
        <v>8539</v>
      </c>
      <c r="E374" s="8" t="s">
        <v>481</v>
      </c>
      <c r="F374" s="9">
        <v>810001324</v>
      </c>
      <c r="G374" s="10" t="s">
        <v>486</v>
      </c>
      <c r="H374" s="3">
        <v>700</v>
      </c>
      <c r="I374" s="4">
        <v>7000</v>
      </c>
      <c r="J374" s="5">
        <v>2963</v>
      </c>
      <c r="K374" s="6">
        <v>18</v>
      </c>
      <c r="L374" s="6">
        <f t="shared" si="6"/>
        <v>3496.3399999999997</v>
      </c>
      <c r="M374" s="13">
        <f>L374/10</f>
        <v>349.63399999999996</v>
      </c>
      <c r="N374" s="14"/>
    </row>
    <row r="375" spans="1:14" ht="15.75" customHeight="1" x14ac:dyDescent="0.35">
      <c r="A375" s="11">
        <v>370</v>
      </c>
      <c r="B375" s="8" t="s">
        <v>19</v>
      </c>
      <c r="C375" s="8" t="s">
        <v>20</v>
      </c>
      <c r="D375" s="8">
        <v>8567</v>
      </c>
      <c r="E375" s="8" t="s">
        <v>487</v>
      </c>
      <c r="F375" s="9">
        <v>810001412</v>
      </c>
      <c r="G375" s="10" t="s">
        <v>488</v>
      </c>
      <c r="H375" s="3">
        <v>1750</v>
      </c>
      <c r="I375" s="4">
        <v>1750</v>
      </c>
      <c r="J375" s="5">
        <v>556</v>
      </c>
      <c r="K375" s="6">
        <v>18</v>
      </c>
      <c r="L375" s="6">
        <f t="shared" si="6"/>
        <v>656.07999999999993</v>
      </c>
      <c r="M375" s="13">
        <f>L375/1000*60</f>
        <v>39.364799999999995</v>
      </c>
      <c r="N375" s="14"/>
    </row>
    <row r="376" spans="1:14" ht="15.75" customHeight="1" x14ac:dyDescent="0.35">
      <c r="A376" s="11">
        <v>371</v>
      </c>
      <c r="B376" s="8" t="s">
        <v>19</v>
      </c>
      <c r="C376" s="8" t="s">
        <v>13</v>
      </c>
      <c r="D376" s="8">
        <v>8066</v>
      </c>
      <c r="E376" s="8" t="s">
        <v>489</v>
      </c>
      <c r="F376" s="9">
        <v>810000107</v>
      </c>
      <c r="G376" s="10" t="s">
        <v>490</v>
      </c>
      <c r="H376" s="3">
        <v>1700</v>
      </c>
      <c r="I376" s="4">
        <v>1700</v>
      </c>
      <c r="J376" s="5">
        <v>735</v>
      </c>
      <c r="K376" s="6">
        <v>18</v>
      </c>
      <c r="L376" s="6">
        <f t="shared" si="6"/>
        <v>867.3</v>
      </c>
      <c r="M376" s="13">
        <f>L376/1</f>
        <v>867.3</v>
      </c>
      <c r="N376" s="14"/>
    </row>
    <row r="377" spans="1:14" ht="15.75" customHeight="1" x14ac:dyDescent="0.35">
      <c r="A377" s="11">
        <v>372</v>
      </c>
      <c r="B377" s="8" t="s">
        <v>19</v>
      </c>
      <c r="C377" s="8" t="s">
        <v>13</v>
      </c>
      <c r="D377" s="8">
        <v>8066</v>
      </c>
      <c r="E377" s="8" t="s">
        <v>489</v>
      </c>
      <c r="F377" s="9">
        <v>810000110</v>
      </c>
      <c r="G377" s="10" t="s">
        <v>491</v>
      </c>
      <c r="H377" s="3">
        <v>900</v>
      </c>
      <c r="I377" s="4">
        <v>1800</v>
      </c>
      <c r="J377" s="5">
        <v>757</v>
      </c>
      <c r="K377" s="6">
        <v>18</v>
      </c>
      <c r="L377" s="6">
        <f t="shared" si="6"/>
        <v>893.26</v>
      </c>
      <c r="M377" s="13">
        <f>L377/2</f>
        <v>446.63</v>
      </c>
      <c r="N377" s="14"/>
    </row>
    <row r="378" spans="1:14" ht="15.75" customHeight="1" x14ac:dyDescent="0.35">
      <c r="A378" s="11">
        <v>373</v>
      </c>
      <c r="B378" s="8" t="s">
        <v>19</v>
      </c>
      <c r="C378" s="8" t="s">
        <v>13</v>
      </c>
      <c r="D378" s="8">
        <v>8066</v>
      </c>
      <c r="E378" s="8" t="s">
        <v>489</v>
      </c>
      <c r="F378" s="9">
        <v>810000109</v>
      </c>
      <c r="G378" s="10" t="s">
        <v>492</v>
      </c>
      <c r="H378" s="3">
        <v>475</v>
      </c>
      <c r="I378" s="4">
        <v>1900</v>
      </c>
      <c r="J378" s="5">
        <v>794</v>
      </c>
      <c r="K378" s="6">
        <v>18</v>
      </c>
      <c r="L378" s="6">
        <f t="shared" si="6"/>
        <v>936.92</v>
      </c>
      <c r="M378" s="13">
        <f>L378/4</f>
        <v>234.23</v>
      </c>
      <c r="N378" s="14"/>
    </row>
    <row r="379" spans="1:14" ht="15.75" customHeight="1" x14ac:dyDescent="0.35">
      <c r="A379" s="11">
        <v>374</v>
      </c>
      <c r="B379" s="8" t="s">
        <v>19</v>
      </c>
      <c r="C379" s="8" t="s">
        <v>13</v>
      </c>
      <c r="D379" s="8">
        <v>8066</v>
      </c>
      <c r="E379" s="8" t="s">
        <v>489</v>
      </c>
      <c r="F379" s="9">
        <v>810000108</v>
      </c>
      <c r="G379" s="10" t="s">
        <v>493</v>
      </c>
      <c r="H379" s="3">
        <v>210</v>
      </c>
      <c r="I379" s="4">
        <v>2100</v>
      </c>
      <c r="J379" s="5">
        <v>836</v>
      </c>
      <c r="K379" s="6">
        <v>18</v>
      </c>
      <c r="L379" s="6">
        <f t="shared" si="6"/>
        <v>986.4799999999999</v>
      </c>
      <c r="M379" s="13">
        <f>L379/10</f>
        <v>98.647999999999996</v>
      </c>
      <c r="N379" s="14"/>
    </row>
    <row r="380" spans="1:14" ht="15.75" customHeight="1" x14ac:dyDescent="0.35">
      <c r="A380" s="11">
        <v>375</v>
      </c>
      <c r="B380" s="8" t="s">
        <v>19</v>
      </c>
      <c r="C380" s="8" t="s">
        <v>13</v>
      </c>
      <c r="D380" s="8">
        <v>8067</v>
      </c>
      <c r="E380" s="8" t="s">
        <v>494</v>
      </c>
      <c r="F380" s="9">
        <v>810000702</v>
      </c>
      <c r="G380" s="10" t="s">
        <v>495</v>
      </c>
      <c r="H380" s="3">
        <v>675</v>
      </c>
      <c r="I380" s="4">
        <v>225</v>
      </c>
      <c r="J380" s="5">
        <v>214</v>
      </c>
      <c r="K380" s="6">
        <v>18</v>
      </c>
      <c r="L380" s="6">
        <f t="shared" si="6"/>
        <v>252.51999999999998</v>
      </c>
      <c r="M380" s="13">
        <f>L380*3</f>
        <v>757.56</v>
      </c>
      <c r="N380" s="14"/>
    </row>
    <row r="381" spans="1:14" ht="15.75" customHeight="1" x14ac:dyDescent="0.35">
      <c r="A381" s="11">
        <v>376</v>
      </c>
      <c r="B381" s="8" t="s">
        <v>19</v>
      </c>
      <c r="C381" s="8" t="s">
        <v>13</v>
      </c>
      <c r="D381" s="8">
        <v>8067</v>
      </c>
      <c r="E381" s="8" t="s">
        <v>494</v>
      </c>
      <c r="F381" s="9">
        <v>810000701</v>
      </c>
      <c r="G381" s="10" t="s">
        <v>496</v>
      </c>
      <c r="H381" s="3">
        <v>235</v>
      </c>
      <c r="I381" s="4">
        <v>235</v>
      </c>
      <c r="J381" s="5">
        <v>217</v>
      </c>
      <c r="K381" s="6">
        <v>18</v>
      </c>
      <c r="L381" s="6">
        <f t="shared" si="6"/>
        <v>256.06</v>
      </c>
      <c r="M381" s="13">
        <f>L381/1</f>
        <v>256.06</v>
      </c>
      <c r="N381" s="14"/>
    </row>
    <row r="382" spans="1:14" ht="15.75" customHeight="1" x14ac:dyDescent="0.35">
      <c r="A382" s="11">
        <v>377</v>
      </c>
      <c r="B382" s="8" t="s">
        <v>19</v>
      </c>
      <c r="C382" s="8" t="s">
        <v>13</v>
      </c>
      <c r="D382" s="8">
        <v>8067</v>
      </c>
      <c r="E382" s="8" t="s">
        <v>494</v>
      </c>
      <c r="F382" s="9">
        <v>810001197</v>
      </c>
      <c r="G382" s="10" t="s">
        <v>497</v>
      </c>
      <c r="H382" s="3">
        <v>675</v>
      </c>
      <c r="I382" s="4">
        <v>225</v>
      </c>
      <c r="J382" s="5">
        <v>210</v>
      </c>
      <c r="K382" s="6">
        <v>18</v>
      </c>
      <c r="L382" s="6">
        <f t="shared" si="6"/>
        <v>247.79999999999998</v>
      </c>
      <c r="M382" s="13">
        <f>L382*3</f>
        <v>743.4</v>
      </c>
      <c r="N382" s="14"/>
    </row>
    <row r="383" spans="1:14" ht="15.75" customHeight="1" x14ac:dyDescent="0.35">
      <c r="A383" s="11">
        <v>378</v>
      </c>
      <c r="B383" s="8" t="s">
        <v>19</v>
      </c>
      <c r="C383" s="8" t="s">
        <v>13</v>
      </c>
      <c r="D383" s="8">
        <v>8067</v>
      </c>
      <c r="E383" s="8" t="s">
        <v>494</v>
      </c>
      <c r="F383" s="9">
        <v>810000977</v>
      </c>
      <c r="G383" s="10" t="s">
        <v>498</v>
      </c>
      <c r="H383" s="3">
        <v>235</v>
      </c>
      <c r="I383" s="4">
        <v>235</v>
      </c>
      <c r="J383" s="5">
        <v>210</v>
      </c>
      <c r="K383" s="6">
        <v>18</v>
      </c>
      <c r="L383" s="6">
        <f t="shared" si="6"/>
        <v>247.79999999999998</v>
      </c>
      <c r="M383" s="13">
        <f>L383/1</f>
        <v>247.79999999999998</v>
      </c>
      <c r="N383" s="14"/>
    </row>
    <row r="384" spans="1:14" ht="15.75" customHeight="1" x14ac:dyDescent="0.35">
      <c r="A384" s="11">
        <v>379</v>
      </c>
      <c r="B384" s="8" t="s">
        <v>19</v>
      </c>
      <c r="C384" s="8" t="s">
        <v>13</v>
      </c>
      <c r="D384" s="8">
        <v>8067</v>
      </c>
      <c r="E384" s="8" t="s">
        <v>494</v>
      </c>
      <c r="F384" s="9">
        <v>810001186</v>
      </c>
      <c r="G384" s="10" t="s">
        <v>499</v>
      </c>
      <c r="H384" s="3">
        <v>675</v>
      </c>
      <c r="I384" s="4">
        <v>225</v>
      </c>
      <c r="J384" s="5">
        <v>205</v>
      </c>
      <c r="K384" s="6">
        <v>18</v>
      </c>
      <c r="L384" s="6">
        <f t="shared" si="6"/>
        <v>241.89999999999998</v>
      </c>
      <c r="M384" s="13">
        <f>L384*3</f>
        <v>725.69999999999993</v>
      </c>
      <c r="N384" s="14"/>
    </row>
    <row r="385" spans="1:14" ht="15.75" customHeight="1" x14ac:dyDescent="0.35">
      <c r="A385" s="11">
        <v>380</v>
      </c>
      <c r="B385" s="8" t="s">
        <v>19</v>
      </c>
      <c r="C385" s="8" t="s">
        <v>20</v>
      </c>
      <c r="D385" s="8">
        <v>8068</v>
      </c>
      <c r="E385" s="8" t="s">
        <v>500</v>
      </c>
      <c r="F385" s="9">
        <v>810000243</v>
      </c>
      <c r="G385" s="10" t="s">
        <v>501</v>
      </c>
      <c r="H385" s="3">
        <v>2000</v>
      </c>
      <c r="I385" s="4">
        <v>2000</v>
      </c>
      <c r="J385" s="5">
        <v>979</v>
      </c>
      <c r="K385" s="6">
        <v>18</v>
      </c>
      <c r="L385" s="6">
        <f t="shared" si="6"/>
        <v>1155.22</v>
      </c>
      <c r="M385" s="13">
        <f>L385/1</f>
        <v>1155.22</v>
      </c>
      <c r="N385" s="14"/>
    </row>
    <row r="386" spans="1:14" ht="15.75" customHeight="1" x14ac:dyDescent="0.35">
      <c r="A386" s="11">
        <v>381</v>
      </c>
      <c r="B386" s="8" t="s">
        <v>19</v>
      </c>
      <c r="C386" s="8" t="s">
        <v>20</v>
      </c>
      <c r="D386" s="8">
        <v>8068</v>
      </c>
      <c r="E386" s="8" t="s">
        <v>500</v>
      </c>
      <c r="F386" s="9">
        <v>810000246</v>
      </c>
      <c r="G386" s="10" t="s">
        <v>502</v>
      </c>
      <c r="H386" s="3">
        <v>1061</v>
      </c>
      <c r="I386" s="4">
        <v>2122</v>
      </c>
      <c r="J386" s="5">
        <v>1032</v>
      </c>
      <c r="K386" s="6">
        <v>18</v>
      </c>
      <c r="L386" s="6">
        <f t="shared" si="6"/>
        <v>1217.76</v>
      </c>
      <c r="M386" s="13">
        <f>L386/2</f>
        <v>608.88</v>
      </c>
      <c r="N386" s="14"/>
    </row>
    <row r="387" spans="1:14" ht="15.75" customHeight="1" x14ac:dyDescent="0.35">
      <c r="A387" s="11">
        <v>382</v>
      </c>
      <c r="B387" s="8" t="s">
        <v>19</v>
      </c>
      <c r="C387" s="8" t="s">
        <v>20</v>
      </c>
      <c r="D387" s="8">
        <v>8068</v>
      </c>
      <c r="E387" s="8" t="s">
        <v>500</v>
      </c>
      <c r="F387" s="9">
        <v>810000245</v>
      </c>
      <c r="G387" s="10" t="s">
        <v>503</v>
      </c>
      <c r="H387" s="3">
        <v>561</v>
      </c>
      <c r="I387" s="4">
        <v>2244</v>
      </c>
      <c r="J387" s="5">
        <v>1074</v>
      </c>
      <c r="K387" s="6">
        <v>18</v>
      </c>
      <c r="L387" s="6">
        <f t="shared" si="6"/>
        <v>1267.32</v>
      </c>
      <c r="M387" s="13">
        <f>L387/4</f>
        <v>316.83</v>
      </c>
      <c r="N387" s="14"/>
    </row>
    <row r="388" spans="1:14" ht="15.75" customHeight="1" x14ac:dyDescent="0.35">
      <c r="A388" s="11">
        <v>383</v>
      </c>
      <c r="B388" s="8" t="s">
        <v>19</v>
      </c>
      <c r="C388" s="8" t="s">
        <v>20</v>
      </c>
      <c r="D388" s="8">
        <v>8068</v>
      </c>
      <c r="E388" s="8" t="s">
        <v>500</v>
      </c>
      <c r="F388" s="9">
        <v>810000244</v>
      </c>
      <c r="G388" s="10" t="s">
        <v>504</v>
      </c>
      <c r="H388" s="3">
        <v>241</v>
      </c>
      <c r="I388" s="4">
        <v>2410</v>
      </c>
      <c r="J388" s="5">
        <v>1148</v>
      </c>
      <c r="K388" s="6">
        <v>18</v>
      </c>
      <c r="L388" s="6">
        <f t="shared" si="6"/>
        <v>1354.6399999999999</v>
      </c>
      <c r="M388" s="13">
        <f>L388/10</f>
        <v>135.464</v>
      </c>
      <c r="N388" s="14"/>
    </row>
    <row r="389" spans="1:14" ht="15.75" customHeight="1" x14ac:dyDescent="0.35">
      <c r="A389" s="11">
        <v>384</v>
      </c>
      <c r="B389" s="8" t="s">
        <v>104</v>
      </c>
      <c r="C389" s="8" t="s">
        <v>23</v>
      </c>
      <c r="D389" s="8">
        <v>8522</v>
      </c>
      <c r="E389" s="8" t="s">
        <v>505</v>
      </c>
      <c r="F389" s="9">
        <v>810001527</v>
      </c>
      <c r="G389" s="10" t="s">
        <v>506</v>
      </c>
      <c r="H389" s="3">
        <v>8700</v>
      </c>
      <c r="I389" s="4">
        <v>14500</v>
      </c>
      <c r="J389" s="5">
        <v>2354</v>
      </c>
      <c r="K389" s="6">
        <v>18</v>
      </c>
      <c r="L389" s="6">
        <f t="shared" si="6"/>
        <v>2777.72</v>
      </c>
      <c r="M389" s="13">
        <f>L389/1000*600</f>
        <v>1666.6320000000001</v>
      </c>
      <c r="N389" s="14"/>
    </row>
    <row r="390" spans="1:14" ht="15.75" customHeight="1" x14ac:dyDescent="0.35">
      <c r="A390" s="11">
        <v>385</v>
      </c>
      <c r="B390" s="8" t="s">
        <v>104</v>
      </c>
      <c r="C390" s="8" t="s">
        <v>23</v>
      </c>
      <c r="D390" s="8">
        <v>8522</v>
      </c>
      <c r="E390" s="8" t="s">
        <v>505</v>
      </c>
      <c r="F390" s="9">
        <v>810001343</v>
      </c>
      <c r="G390" s="10" t="s">
        <v>507</v>
      </c>
      <c r="H390" s="3">
        <v>4500</v>
      </c>
      <c r="I390" s="4">
        <v>15000</v>
      </c>
      <c r="J390" s="5">
        <v>2381</v>
      </c>
      <c r="K390" s="6">
        <v>18</v>
      </c>
      <c r="L390" s="6">
        <f t="shared" si="6"/>
        <v>2809.58</v>
      </c>
      <c r="M390" s="13">
        <f>L390/1000*300</f>
        <v>842.87400000000002</v>
      </c>
      <c r="N390" s="14"/>
    </row>
    <row r="391" spans="1:14" ht="15.75" customHeight="1" x14ac:dyDescent="0.35">
      <c r="A391" s="11">
        <v>386</v>
      </c>
      <c r="B391" s="8" t="s">
        <v>104</v>
      </c>
      <c r="C391" s="8" t="s">
        <v>23</v>
      </c>
      <c r="D391" s="8">
        <v>8522</v>
      </c>
      <c r="E391" s="8" t="s">
        <v>505</v>
      </c>
      <c r="F391" s="9">
        <v>810001260</v>
      </c>
      <c r="G391" s="10" t="s">
        <v>508</v>
      </c>
      <c r="H391" s="3">
        <v>2400</v>
      </c>
      <c r="I391" s="4">
        <v>16000</v>
      </c>
      <c r="J391" s="5">
        <v>2434</v>
      </c>
      <c r="K391" s="6">
        <v>18</v>
      </c>
      <c r="L391" s="6">
        <f t="shared" si="6"/>
        <v>2872.12</v>
      </c>
      <c r="M391" s="13">
        <f>L391/1000*150</f>
        <v>430.81799999999998</v>
      </c>
      <c r="N391" s="14"/>
    </row>
    <row r="392" spans="1:14" ht="15.75" customHeight="1" x14ac:dyDescent="0.35">
      <c r="A392" s="11">
        <v>387</v>
      </c>
      <c r="B392" s="8" t="s">
        <v>104</v>
      </c>
      <c r="C392" s="8" t="s">
        <v>23</v>
      </c>
      <c r="D392" s="8">
        <v>8522</v>
      </c>
      <c r="E392" s="8" t="s">
        <v>505</v>
      </c>
      <c r="F392" s="9">
        <v>810001261</v>
      </c>
      <c r="G392" s="10" t="s">
        <v>509</v>
      </c>
      <c r="H392" s="3">
        <v>990</v>
      </c>
      <c r="I392" s="4">
        <v>16500</v>
      </c>
      <c r="J392" s="5">
        <v>2608</v>
      </c>
      <c r="K392" s="6">
        <v>18</v>
      </c>
      <c r="L392" s="6">
        <f t="shared" ref="L392:L441" si="7">J392*(100+K392)%</f>
        <v>3077.44</v>
      </c>
      <c r="M392" s="13">
        <f>L392/1000*60</f>
        <v>184.6464</v>
      </c>
      <c r="N392" s="14"/>
    </row>
    <row r="393" spans="1:14" ht="15.75" customHeight="1" x14ac:dyDescent="0.35">
      <c r="A393" s="11">
        <v>388</v>
      </c>
      <c r="B393" s="8" t="s">
        <v>104</v>
      </c>
      <c r="C393" s="8" t="s">
        <v>23</v>
      </c>
      <c r="D393" s="8">
        <v>8522</v>
      </c>
      <c r="E393" s="8" t="s">
        <v>505</v>
      </c>
      <c r="F393" s="9">
        <v>810001262</v>
      </c>
      <c r="G393" s="10" t="s">
        <v>510</v>
      </c>
      <c r="H393" s="3">
        <v>540</v>
      </c>
      <c r="I393" s="4">
        <v>18000</v>
      </c>
      <c r="J393" s="5">
        <v>3175</v>
      </c>
      <c r="K393" s="6">
        <v>18</v>
      </c>
      <c r="L393" s="6">
        <f t="shared" si="7"/>
        <v>3746.5</v>
      </c>
      <c r="M393" s="13">
        <f>L393/1000*30</f>
        <v>112.39500000000001</v>
      </c>
      <c r="N393" s="14"/>
    </row>
    <row r="394" spans="1:14" ht="15.75" customHeight="1" x14ac:dyDescent="0.35">
      <c r="A394" s="11">
        <v>389</v>
      </c>
      <c r="B394" s="8" t="s">
        <v>104</v>
      </c>
      <c r="C394" s="8" t="s">
        <v>23</v>
      </c>
      <c r="D394" s="8">
        <v>8522</v>
      </c>
      <c r="E394" s="8" t="s">
        <v>505</v>
      </c>
      <c r="F394" s="9">
        <v>810001296</v>
      </c>
      <c r="G394" s="10" t="s">
        <v>511</v>
      </c>
      <c r="H394" s="3">
        <v>210</v>
      </c>
      <c r="I394" s="4">
        <v>21000</v>
      </c>
      <c r="J394" s="5">
        <v>4286</v>
      </c>
      <c r="K394" s="6">
        <v>18</v>
      </c>
      <c r="L394" s="6">
        <f t="shared" si="7"/>
        <v>5057.4799999999996</v>
      </c>
      <c r="M394" s="13">
        <f>L394/100</f>
        <v>50.574799999999996</v>
      </c>
      <c r="N394" s="14"/>
    </row>
    <row r="395" spans="1:14" ht="15.75" customHeight="1" x14ac:dyDescent="0.35">
      <c r="A395" s="11">
        <v>390</v>
      </c>
      <c r="B395" s="8" t="s">
        <v>19</v>
      </c>
      <c r="C395" s="8" t="s">
        <v>13</v>
      </c>
      <c r="D395" s="8">
        <v>8434</v>
      </c>
      <c r="E395" s="8" t="s">
        <v>512</v>
      </c>
      <c r="F395" s="9">
        <v>810000974</v>
      </c>
      <c r="G395" s="10" t="s">
        <v>513</v>
      </c>
      <c r="H395" s="3">
        <v>1200</v>
      </c>
      <c r="I395" s="4">
        <v>1200</v>
      </c>
      <c r="J395" s="5">
        <v>397</v>
      </c>
      <c r="K395" s="6">
        <v>18</v>
      </c>
      <c r="L395" s="6">
        <f t="shared" si="7"/>
        <v>468.46</v>
      </c>
      <c r="M395" s="13">
        <f>L395/1</f>
        <v>468.46</v>
      </c>
      <c r="N395" s="14"/>
    </row>
    <row r="396" spans="1:14" ht="15.75" customHeight="1" x14ac:dyDescent="0.35">
      <c r="A396" s="11">
        <v>391</v>
      </c>
      <c r="B396" s="8" t="s">
        <v>19</v>
      </c>
      <c r="C396" s="8" t="s">
        <v>13</v>
      </c>
      <c r="D396" s="8">
        <v>8434</v>
      </c>
      <c r="E396" s="8" t="s">
        <v>512</v>
      </c>
      <c r="F396" s="9">
        <v>810000975</v>
      </c>
      <c r="G396" s="10" t="s">
        <v>514</v>
      </c>
      <c r="H396" s="3">
        <v>650</v>
      </c>
      <c r="I396" s="4">
        <v>1300</v>
      </c>
      <c r="J396" s="5">
        <v>407</v>
      </c>
      <c r="K396" s="6">
        <v>18</v>
      </c>
      <c r="L396" s="6">
        <f t="shared" si="7"/>
        <v>480.26</v>
      </c>
      <c r="M396" s="13">
        <f>L396/2</f>
        <v>240.13</v>
      </c>
      <c r="N396" s="14"/>
    </row>
    <row r="397" spans="1:14" ht="15.75" customHeight="1" x14ac:dyDescent="0.35">
      <c r="A397" s="11">
        <v>392</v>
      </c>
      <c r="B397" s="8" t="s">
        <v>19</v>
      </c>
      <c r="C397" s="8" t="s">
        <v>23</v>
      </c>
      <c r="D397" s="8">
        <v>8069</v>
      </c>
      <c r="E397" s="8" t="s">
        <v>515</v>
      </c>
      <c r="F397" s="9">
        <v>810000132</v>
      </c>
      <c r="G397" s="10" t="s">
        <v>516</v>
      </c>
      <c r="H397" s="3">
        <v>1100</v>
      </c>
      <c r="I397" s="4">
        <v>220</v>
      </c>
      <c r="J397" s="5">
        <v>100</v>
      </c>
      <c r="K397" s="6">
        <v>18</v>
      </c>
      <c r="L397" s="6">
        <f t="shared" si="7"/>
        <v>118</v>
      </c>
      <c r="M397" s="13">
        <f>L397*5</f>
        <v>590</v>
      </c>
      <c r="N397" s="14" t="s">
        <v>593</v>
      </c>
    </row>
    <row r="398" spans="1:14" ht="15.75" customHeight="1" x14ac:dyDescent="0.35">
      <c r="A398" s="11">
        <v>393</v>
      </c>
      <c r="B398" s="8" t="s">
        <v>19</v>
      </c>
      <c r="C398" s="8" t="s">
        <v>23</v>
      </c>
      <c r="D398" s="8">
        <v>8069</v>
      </c>
      <c r="E398" s="8" t="s">
        <v>515</v>
      </c>
      <c r="F398" s="9">
        <v>810000131</v>
      </c>
      <c r="G398" s="10" t="s">
        <v>579</v>
      </c>
      <c r="H398" s="3">
        <v>230</v>
      </c>
      <c r="I398" s="4">
        <v>230</v>
      </c>
      <c r="J398" s="5">
        <v>103</v>
      </c>
      <c r="K398" s="6">
        <v>18</v>
      </c>
      <c r="L398" s="6">
        <f t="shared" ref="L398" si="8">J398*(100+K398)%</f>
        <v>121.53999999999999</v>
      </c>
      <c r="M398" s="13">
        <f>L398*1</f>
        <v>121.53999999999999</v>
      </c>
      <c r="N398" s="14" t="s">
        <v>593</v>
      </c>
    </row>
    <row r="399" spans="1:14" ht="15.75" customHeight="1" x14ac:dyDescent="0.35">
      <c r="A399" s="11">
        <v>394</v>
      </c>
      <c r="B399" s="8" t="s">
        <v>19</v>
      </c>
      <c r="C399" s="8" t="s">
        <v>23</v>
      </c>
      <c r="D399" s="8">
        <v>8070</v>
      </c>
      <c r="E399" s="8" t="s">
        <v>517</v>
      </c>
      <c r="F399" s="9">
        <v>810000137</v>
      </c>
      <c r="G399" s="10" t="s">
        <v>518</v>
      </c>
      <c r="H399" s="3">
        <v>2300</v>
      </c>
      <c r="I399" s="4">
        <v>2300</v>
      </c>
      <c r="J399" s="5">
        <v>1122</v>
      </c>
      <c r="K399" s="6">
        <v>18</v>
      </c>
      <c r="L399" s="6">
        <f t="shared" si="7"/>
        <v>1323.96</v>
      </c>
      <c r="M399" s="13">
        <f>L399/1</f>
        <v>1323.96</v>
      </c>
      <c r="N399" s="14" t="s">
        <v>593</v>
      </c>
    </row>
    <row r="400" spans="1:14" ht="15.75" customHeight="1" x14ac:dyDescent="0.35">
      <c r="A400" s="11">
        <v>395</v>
      </c>
      <c r="B400" s="8" t="s">
        <v>19</v>
      </c>
      <c r="C400" s="8" t="s">
        <v>23</v>
      </c>
      <c r="D400" s="8">
        <v>8070</v>
      </c>
      <c r="E400" s="8" t="s">
        <v>517</v>
      </c>
      <c r="F400" s="9">
        <v>810000136</v>
      </c>
      <c r="G400" s="10" t="s">
        <v>519</v>
      </c>
      <c r="H400" s="3">
        <v>1250</v>
      </c>
      <c r="I400" s="4">
        <v>2500</v>
      </c>
      <c r="J400" s="5">
        <v>1153</v>
      </c>
      <c r="K400" s="6">
        <v>18</v>
      </c>
      <c r="L400" s="6">
        <f t="shared" si="7"/>
        <v>1360.54</v>
      </c>
      <c r="M400" s="13">
        <f>L400/2</f>
        <v>680.27</v>
      </c>
      <c r="N400" s="14" t="s">
        <v>593</v>
      </c>
    </row>
    <row r="401" spans="1:14" ht="15.75" customHeight="1" x14ac:dyDescent="0.35">
      <c r="A401" s="11">
        <v>396</v>
      </c>
      <c r="B401" s="8" t="s">
        <v>19</v>
      </c>
      <c r="C401" s="8" t="s">
        <v>23</v>
      </c>
      <c r="D401" s="8">
        <v>8070</v>
      </c>
      <c r="E401" s="8" t="s">
        <v>517</v>
      </c>
      <c r="F401" s="9">
        <v>810000134</v>
      </c>
      <c r="G401" s="10" t="s">
        <v>520</v>
      </c>
      <c r="H401" s="3">
        <v>700</v>
      </c>
      <c r="I401" s="4">
        <v>2800</v>
      </c>
      <c r="J401" s="5">
        <v>1204</v>
      </c>
      <c r="K401" s="6">
        <v>18</v>
      </c>
      <c r="L401" s="6">
        <f t="shared" si="7"/>
        <v>1420.72</v>
      </c>
      <c r="M401" s="13">
        <f>L401/4</f>
        <v>355.18</v>
      </c>
      <c r="N401" s="14" t="s">
        <v>593</v>
      </c>
    </row>
    <row r="402" spans="1:14" ht="15.75" customHeight="1" x14ac:dyDescent="0.35">
      <c r="A402" s="11">
        <v>397</v>
      </c>
      <c r="B402" s="8" t="s">
        <v>19</v>
      </c>
      <c r="C402" s="8" t="s">
        <v>23</v>
      </c>
      <c r="D402" s="8">
        <v>8070</v>
      </c>
      <c r="E402" s="8" t="s">
        <v>517</v>
      </c>
      <c r="F402" s="9">
        <v>810000133</v>
      </c>
      <c r="G402" s="10" t="s">
        <v>521</v>
      </c>
      <c r="H402" s="3">
        <v>300</v>
      </c>
      <c r="I402" s="4">
        <v>3000</v>
      </c>
      <c r="J402" s="5">
        <v>1235</v>
      </c>
      <c r="K402" s="6">
        <v>18</v>
      </c>
      <c r="L402" s="6">
        <f t="shared" si="7"/>
        <v>1457.3</v>
      </c>
      <c r="M402" s="13">
        <f>L402/10</f>
        <v>145.72999999999999</v>
      </c>
      <c r="N402" s="14" t="s">
        <v>593</v>
      </c>
    </row>
    <row r="403" spans="1:14" ht="15.75" customHeight="1" x14ac:dyDescent="0.35">
      <c r="A403" s="11">
        <v>398</v>
      </c>
      <c r="B403" s="8" t="s">
        <v>19</v>
      </c>
      <c r="C403" s="8" t="s">
        <v>23</v>
      </c>
      <c r="D403" s="8">
        <v>8520</v>
      </c>
      <c r="E403" s="8" t="s">
        <v>522</v>
      </c>
      <c r="F403" s="9">
        <v>810001566</v>
      </c>
      <c r="G403" s="10" t="s">
        <v>523</v>
      </c>
      <c r="H403" s="3">
        <v>1470</v>
      </c>
      <c r="I403" s="4">
        <v>245</v>
      </c>
      <c r="J403" s="5">
        <v>80</v>
      </c>
      <c r="K403" s="6">
        <v>18</v>
      </c>
      <c r="L403" s="6">
        <f t="shared" si="7"/>
        <v>94.399999999999991</v>
      </c>
      <c r="M403" s="13">
        <f>L403*6</f>
        <v>566.4</v>
      </c>
      <c r="N403" s="14" t="s">
        <v>593</v>
      </c>
    </row>
    <row r="404" spans="1:14" ht="15.75" customHeight="1" x14ac:dyDescent="0.35">
      <c r="A404" s="11">
        <v>399</v>
      </c>
      <c r="B404" s="8" t="s">
        <v>19</v>
      </c>
      <c r="C404" s="8" t="s">
        <v>23</v>
      </c>
      <c r="D404" s="8">
        <v>8520</v>
      </c>
      <c r="E404" s="8" t="s">
        <v>522</v>
      </c>
      <c r="F404" s="9">
        <v>810001274</v>
      </c>
      <c r="G404" s="10" t="s">
        <v>524</v>
      </c>
      <c r="H404" s="3">
        <v>980</v>
      </c>
      <c r="I404" s="4">
        <v>245</v>
      </c>
      <c r="J404" s="5">
        <v>80</v>
      </c>
      <c r="K404" s="6">
        <v>18</v>
      </c>
      <c r="L404" s="6">
        <f t="shared" si="7"/>
        <v>94.399999999999991</v>
      </c>
      <c r="M404" s="13">
        <f>L404*4</f>
        <v>377.59999999999997</v>
      </c>
      <c r="N404" s="14" t="s">
        <v>593</v>
      </c>
    </row>
    <row r="405" spans="1:14" ht="15.75" customHeight="1" x14ac:dyDescent="0.35">
      <c r="A405" s="11">
        <v>400</v>
      </c>
      <c r="B405" s="8" t="s">
        <v>19</v>
      </c>
      <c r="C405" s="8" t="s">
        <v>23</v>
      </c>
      <c r="D405" s="8">
        <v>8520</v>
      </c>
      <c r="E405" s="8" t="s">
        <v>522</v>
      </c>
      <c r="F405" s="9">
        <v>810001538</v>
      </c>
      <c r="G405" s="10" t="s">
        <v>525</v>
      </c>
      <c r="H405" s="3">
        <v>280</v>
      </c>
      <c r="I405" s="4">
        <v>280</v>
      </c>
      <c r="J405" s="5">
        <v>90</v>
      </c>
      <c r="K405" s="6">
        <v>18</v>
      </c>
      <c r="L405" s="6">
        <f t="shared" si="7"/>
        <v>106.19999999999999</v>
      </c>
      <c r="M405" s="13">
        <f>L405/1</f>
        <v>106.19999999999999</v>
      </c>
      <c r="N405" s="14" t="s">
        <v>593</v>
      </c>
    </row>
    <row r="406" spans="1:14" ht="15.75" customHeight="1" x14ac:dyDescent="0.35">
      <c r="A406" s="11">
        <v>401</v>
      </c>
      <c r="B406" s="8" t="s">
        <v>104</v>
      </c>
      <c r="C406" s="8" t="s">
        <v>20</v>
      </c>
      <c r="D406" s="8">
        <v>8525</v>
      </c>
      <c r="E406" s="8" t="s">
        <v>526</v>
      </c>
      <c r="F406" s="9">
        <v>810001266</v>
      </c>
      <c r="G406" s="10" t="s">
        <v>527</v>
      </c>
      <c r="H406" s="3">
        <v>3680</v>
      </c>
      <c r="I406" s="4">
        <v>16000</v>
      </c>
      <c r="J406" s="5">
        <v>3866</v>
      </c>
      <c r="K406" s="6">
        <v>18</v>
      </c>
      <c r="L406" s="6">
        <f t="shared" si="7"/>
        <v>4561.88</v>
      </c>
      <c r="M406" s="13">
        <f>L406/1000*230</f>
        <v>1049.2324000000001</v>
      </c>
      <c r="N406" s="14"/>
    </row>
    <row r="407" spans="1:14" ht="15.75" customHeight="1" x14ac:dyDescent="0.35">
      <c r="A407" s="11">
        <v>402</v>
      </c>
      <c r="B407" s="8" t="s">
        <v>104</v>
      </c>
      <c r="C407" s="8" t="s">
        <v>20</v>
      </c>
      <c r="D407" s="8">
        <v>8525</v>
      </c>
      <c r="E407" s="8" t="s">
        <v>526</v>
      </c>
      <c r="F407" s="9">
        <v>810001267</v>
      </c>
      <c r="G407" s="10" t="s">
        <v>528</v>
      </c>
      <c r="H407" s="3">
        <v>1955</v>
      </c>
      <c r="I407" s="4">
        <v>17000</v>
      </c>
      <c r="J407" s="5">
        <v>4072</v>
      </c>
      <c r="K407" s="6">
        <v>18</v>
      </c>
      <c r="L407" s="6">
        <f t="shared" si="7"/>
        <v>4804.96</v>
      </c>
      <c r="M407" s="13">
        <f>L407/1000*115</f>
        <v>552.57040000000006</v>
      </c>
      <c r="N407" s="14"/>
    </row>
    <row r="408" spans="1:14" ht="15.75" customHeight="1" x14ac:dyDescent="0.35">
      <c r="A408" s="11">
        <v>403</v>
      </c>
      <c r="B408" s="8" t="s">
        <v>104</v>
      </c>
      <c r="C408" s="8" t="s">
        <v>20</v>
      </c>
      <c r="D408" s="8">
        <v>8525</v>
      </c>
      <c r="E408" s="8" t="s">
        <v>526</v>
      </c>
      <c r="F408" s="9">
        <v>810001316</v>
      </c>
      <c r="G408" s="10" t="s">
        <v>529</v>
      </c>
      <c r="H408" s="3">
        <v>1035</v>
      </c>
      <c r="I408" s="4">
        <v>18000</v>
      </c>
      <c r="J408" s="5">
        <v>4381</v>
      </c>
      <c r="K408" s="6">
        <v>18</v>
      </c>
      <c r="L408" s="6">
        <f t="shared" si="7"/>
        <v>5169.58</v>
      </c>
      <c r="M408" s="13">
        <f>L408/1000*57.5</f>
        <v>297.25085000000001</v>
      </c>
      <c r="N408" s="14"/>
    </row>
    <row r="409" spans="1:14" ht="15.75" customHeight="1" x14ac:dyDescent="0.35">
      <c r="A409" s="11">
        <v>404</v>
      </c>
      <c r="B409" s="8" t="s">
        <v>19</v>
      </c>
      <c r="C409" s="8" t="s">
        <v>13</v>
      </c>
      <c r="D409" s="8">
        <v>8071</v>
      </c>
      <c r="E409" s="8" t="s">
        <v>530</v>
      </c>
      <c r="F409" s="9">
        <v>810000064</v>
      </c>
      <c r="G409" s="10" t="s">
        <v>531</v>
      </c>
      <c r="H409" s="3">
        <v>3755</v>
      </c>
      <c r="I409" s="4">
        <v>3755</v>
      </c>
      <c r="J409" s="5">
        <v>952</v>
      </c>
      <c r="K409" s="6">
        <v>18</v>
      </c>
      <c r="L409" s="6">
        <f t="shared" si="7"/>
        <v>1123.3599999999999</v>
      </c>
      <c r="M409" s="13">
        <f>L409/1</f>
        <v>1123.3599999999999</v>
      </c>
      <c r="N409" s="14"/>
    </row>
    <row r="410" spans="1:14" ht="15.75" customHeight="1" x14ac:dyDescent="0.35">
      <c r="A410" s="11">
        <v>405</v>
      </c>
      <c r="B410" s="8" t="s">
        <v>19</v>
      </c>
      <c r="C410" s="8" t="s">
        <v>13</v>
      </c>
      <c r="D410" s="8">
        <v>8071</v>
      </c>
      <c r="E410" s="8" t="s">
        <v>530</v>
      </c>
      <c r="F410" s="9">
        <v>810000067</v>
      </c>
      <c r="G410" s="10" t="s">
        <v>532</v>
      </c>
      <c r="H410" s="3">
        <v>1890</v>
      </c>
      <c r="I410" s="4">
        <v>3780</v>
      </c>
      <c r="J410" s="5">
        <v>979</v>
      </c>
      <c r="K410" s="6">
        <v>18</v>
      </c>
      <c r="L410" s="6">
        <f t="shared" si="7"/>
        <v>1155.22</v>
      </c>
      <c r="M410" s="13">
        <f>L410/2</f>
        <v>577.61</v>
      </c>
      <c r="N410" s="14"/>
    </row>
    <row r="411" spans="1:14" ht="15.75" customHeight="1" x14ac:dyDescent="0.35">
      <c r="A411" s="11">
        <v>406</v>
      </c>
      <c r="B411" s="8" t="s">
        <v>19</v>
      </c>
      <c r="C411" s="8" t="s">
        <v>13</v>
      </c>
      <c r="D411" s="8">
        <v>8071</v>
      </c>
      <c r="E411" s="8" t="s">
        <v>530</v>
      </c>
      <c r="F411" s="9">
        <v>810000066</v>
      </c>
      <c r="G411" s="10" t="s">
        <v>533</v>
      </c>
      <c r="H411" s="3">
        <v>970</v>
      </c>
      <c r="I411" s="4">
        <v>3880</v>
      </c>
      <c r="J411" s="5">
        <v>1021</v>
      </c>
      <c r="K411" s="6">
        <v>18</v>
      </c>
      <c r="L411" s="6">
        <f t="shared" si="7"/>
        <v>1204.78</v>
      </c>
      <c r="M411" s="13">
        <f>L411/4</f>
        <v>301.19499999999999</v>
      </c>
      <c r="N411" s="14"/>
    </row>
    <row r="412" spans="1:14" ht="15.75" customHeight="1" x14ac:dyDescent="0.35">
      <c r="A412" s="11">
        <v>407</v>
      </c>
      <c r="B412" s="8" t="s">
        <v>19</v>
      </c>
      <c r="C412" s="8" t="s">
        <v>13</v>
      </c>
      <c r="D412" s="8">
        <v>8071</v>
      </c>
      <c r="E412" s="8" t="s">
        <v>530</v>
      </c>
      <c r="F412" s="9">
        <v>810000065</v>
      </c>
      <c r="G412" s="10" t="s">
        <v>534</v>
      </c>
      <c r="H412" s="3">
        <v>410</v>
      </c>
      <c r="I412" s="4">
        <v>4100</v>
      </c>
      <c r="J412" s="5">
        <v>1058</v>
      </c>
      <c r="K412" s="6">
        <v>18</v>
      </c>
      <c r="L412" s="6">
        <f t="shared" si="7"/>
        <v>1248.4399999999998</v>
      </c>
      <c r="M412" s="13">
        <f>L412/10</f>
        <v>124.84399999999998</v>
      </c>
      <c r="N412" s="14"/>
    </row>
    <row r="413" spans="1:14" ht="15.75" customHeight="1" x14ac:dyDescent="0.35">
      <c r="A413" s="11">
        <v>408</v>
      </c>
      <c r="B413" s="8" t="s">
        <v>19</v>
      </c>
      <c r="C413" s="8" t="s">
        <v>23</v>
      </c>
      <c r="D413" s="8">
        <v>8615</v>
      </c>
      <c r="E413" s="8" t="s">
        <v>535</v>
      </c>
      <c r="F413" s="9">
        <v>810001556</v>
      </c>
      <c r="G413" s="10" t="s">
        <v>536</v>
      </c>
      <c r="H413" s="3">
        <v>4070</v>
      </c>
      <c r="I413" s="4">
        <v>4070</v>
      </c>
      <c r="J413" s="5">
        <v>2030</v>
      </c>
      <c r="K413" s="6">
        <v>18</v>
      </c>
      <c r="L413" s="6">
        <f t="shared" si="7"/>
        <v>2395.4</v>
      </c>
      <c r="M413" s="13">
        <f>L413/1</f>
        <v>2395.4</v>
      </c>
      <c r="N413" s="14" t="s">
        <v>593</v>
      </c>
    </row>
    <row r="414" spans="1:14" ht="15.75" customHeight="1" x14ac:dyDescent="0.35">
      <c r="A414" s="11">
        <v>409</v>
      </c>
      <c r="B414" s="8" t="s">
        <v>19</v>
      </c>
      <c r="C414" s="8" t="s">
        <v>23</v>
      </c>
      <c r="D414" s="8">
        <v>8615</v>
      </c>
      <c r="E414" s="8" t="s">
        <v>535</v>
      </c>
      <c r="F414" s="9">
        <v>810001557</v>
      </c>
      <c r="G414" s="10" t="s">
        <v>537</v>
      </c>
      <c r="H414" s="3">
        <v>2070</v>
      </c>
      <c r="I414" s="4">
        <v>4140</v>
      </c>
      <c r="J414" s="5">
        <v>2056</v>
      </c>
      <c r="K414" s="6">
        <v>18</v>
      </c>
      <c r="L414" s="6">
        <f t="shared" si="7"/>
        <v>2426.08</v>
      </c>
      <c r="M414" s="13">
        <f>L414/2</f>
        <v>1213.04</v>
      </c>
      <c r="N414" s="14" t="s">
        <v>593</v>
      </c>
    </row>
    <row r="415" spans="1:14" ht="15.75" customHeight="1" x14ac:dyDescent="0.35">
      <c r="A415" s="11">
        <v>410</v>
      </c>
      <c r="B415" s="8" t="s">
        <v>19</v>
      </c>
      <c r="C415" s="8" t="s">
        <v>23</v>
      </c>
      <c r="D415" s="8">
        <v>8615</v>
      </c>
      <c r="E415" s="8" t="s">
        <v>535</v>
      </c>
      <c r="F415" s="9">
        <v>810001558</v>
      </c>
      <c r="G415" s="10" t="s">
        <v>538</v>
      </c>
      <c r="H415" s="3">
        <v>1470</v>
      </c>
      <c r="I415" s="4">
        <v>4200</v>
      </c>
      <c r="J415" s="5">
        <v>2081</v>
      </c>
      <c r="K415" s="6">
        <v>18</v>
      </c>
      <c r="L415" s="6">
        <f t="shared" si="7"/>
        <v>2455.58</v>
      </c>
      <c r="M415" s="13">
        <f>L415/1000*350</f>
        <v>859.45299999999997</v>
      </c>
      <c r="N415" s="14" t="s">
        <v>593</v>
      </c>
    </row>
    <row r="416" spans="1:14" ht="15.75" customHeight="1" x14ac:dyDescent="0.35">
      <c r="A416" s="11">
        <v>411</v>
      </c>
      <c r="B416" s="8" t="s">
        <v>19</v>
      </c>
      <c r="C416" s="8" t="s">
        <v>23</v>
      </c>
      <c r="D416" s="8">
        <v>8072</v>
      </c>
      <c r="E416" s="8" t="s">
        <v>539</v>
      </c>
      <c r="F416" s="9">
        <v>810000074</v>
      </c>
      <c r="G416" s="10" t="s">
        <v>540</v>
      </c>
      <c r="H416" s="3">
        <v>1400</v>
      </c>
      <c r="I416" s="4">
        <v>1400</v>
      </c>
      <c r="J416" s="5">
        <v>503</v>
      </c>
      <c r="K416" s="6">
        <v>18</v>
      </c>
      <c r="L416" s="6">
        <f t="shared" si="7"/>
        <v>593.54</v>
      </c>
      <c r="M416" s="13">
        <f>L416/1</f>
        <v>593.54</v>
      </c>
      <c r="N416" s="14"/>
    </row>
    <row r="417" spans="1:14" ht="15.75" customHeight="1" x14ac:dyDescent="0.35">
      <c r="A417" s="11">
        <v>412</v>
      </c>
      <c r="B417" s="8" t="s">
        <v>19</v>
      </c>
      <c r="C417" s="8" t="s">
        <v>23</v>
      </c>
      <c r="D417" s="8">
        <v>8072</v>
      </c>
      <c r="E417" s="8" t="s">
        <v>539</v>
      </c>
      <c r="F417" s="9">
        <v>810000078</v>
      </c>
      <c r="G417" s="10" t="s">
        <v>541</v>
      </c>
      <c r="H417" s="3">
        <v>725</v>
      </c>
      <c r="I417" s="4">
        <v>1450</v>
      </c>
      <c r="J417" s="5">
        <v>523</v>
      </c>
      <c r="K417" s="6">
        <v>18</v>
      </c>
      <c r="L417" s="6">
        <f t="shared" si="7"/>
        <v>617.14</v>
      </c>
      <c r="M417" s="13">
        <f>L417/2</f>
        <v>308.57</v>
      </c>
      <c r="N417" s="14"/>
    </row>
    <row r="418" spans="1:14" ht="15.75" customHeight="1" x14ac:dyDescent="0.35">
      <c r="A418" s="11">
        <v>413</v>
      </c>
      <c r="B418" s="8" t="s">
        <v>19</v>
      </c>
      <c r="C418" s="8" t="s">
        <v>23</v>
      </c>
      <c r="D418" s="8">
        <v>8072</v>
      </c>
      <c r="E418" s="8" t="s">
        <v>539</v>
      </c>
      <c r="F418" s="9">
        <v>810000076</v>
      </c>
      <c r="G418" s="10" t="s">
        <v>542</v>
      </c>
      <c r="H418" s="3">
        <v>400</v>
      </c>
      <c r="I418" s="4">
        <v>1600</v>
      </c>
      <c r="J418" s="5">
        <v>565</v>
      </c>
      <c r="K418" s="6">
        <v>18</v>
      </c>
      <c r="L418" s="6">
        <f t="shared" si="7"/>
        <v>666.69999999999993</v>
      </c>
      <c r="M418" s="13">
        <f>L418/4</f>
        <v>166.67499999999998</v>
      </c>
      <c r="N418" s="14"/>
    </row>
    <row r="419" spans="1:14" ht="15.75" customHeight="1" x14ac:dyDescent="0.35">
      <c r="A419" s="11">
        <v>414</v>
      </c>
      <c r="B419" s="8" t="s">
        <v>19</v>
      </c>
      <c r="C419" s="8" t="s">
        <v>23</v>
      </c>
      <c r="D419" s="8">
        <v>8072</v>
      </c>
      <c r="E419" s="8" t="s">
        <v>539</v>
      </c>
      <c r="F419" s="9">
        <v>810000075</v>
      </c>
      <c r="G419" s="10" t="s">
        <v>543</v>
      </c>
      <c r="H419" s="3">
        <v>180</v>
      </c>
      <c r="I419" s="4">
        <v>1800</v>
      </c>
      <c r="J419" s="5">
        <v>637</v>
      </c>
      <c r="K419" s="6">
        <v>18</v>
      </c>
      <c r="L419" s="6">
        <f t="shared" si="7"/>
        <v>751.66</v>
      </c>
      <c r="M419" s="13">
        <f>L419/10</f>
        <v>75.165999999999997</v>
      </c>
      <c r="N419" s="14"/>
    </row>
    <row r="420" spans="1:14" ht="15.75" customHeight="1" x14ac:dyDescent="0.35">
      <c r="A420" s="11">
        <v>415</v>
      </c>
      <c r="B420" s="8" t="s">
        <v>104</v>
      </c>
      <c r="C420" s="8" t="s">
        <v>20</v>
      </c>
      <c r="D420" s="8">
        <v>8569</v>
      </c>
      <c r="E420" s="8" t="s">
        <v>544</v>
      </c>
      <c r="F420" s="9">
        <v>810001367</v>
      </c>
      <c r="G420" s="10" t="s">
        <v>545</v>
      </c>
      <c r="H420" s="3">
        <v>4800</v>
      </c>
      <c r="I420" s="4">
        <v>64000</v>
      </c>
      <c r="J420" s="5">
        <v>12698</v>
      </c>
      <c r="K420" s="6">
        <v>18</v>
      </c>
      <c r="L420" s="6">
        <f t="shared" si="7"/>
        <v>14983.64</v>
      </c>
      <c r="M420" s="13">
        <f>L420/1000*75</f>
        <v>1123.7729999999999</v>
      </c>
      <c r="N420" s="14"/>
    </row>
    <row r="421" spans="1:14" ht="15.75" customHeight="1" x14ac:dyDescent="0.35">
      <c r="A421" s="11">
        <v>416</v>
      </c>
      <c r="B421" s="8" t="s">
        <v>104</v>
      </c>
      <c r="C421" s="8" t="s">
        <v>20</v>
      </c>
      <c r="D421" s="8">
        <v>8569</v>
      </c>
      <c r="E421" s="8" t="s">
        <v>544</v>
      </c>
      <c r="F421" s="9">
        <v>810001368</v>
      </c>
      <c r="G421" s="10" t="s">
        <v>546</v>
      </c>
      <c r="H421" s="3">
        <v>2100</v>
      </c>
      <c r="I421" s="4">
        <v>70000</v>
      </c>
      <c r="J421" s="5">
        <v>14815</v>
      </c>
      <c r="K421" s="6">
        <v>18</v>
      </c>
      <c r="L421" s="6">
        <f t="shared" si="7"/>
        <v>17481.7</v>
      </c>
      <c r="M421" s="13">
        <f>L421/1000*30</f>
        <v>524.45100000000002</v>
      </c>
      <c r="N421" s="14"/>
    </row>
    <row r="422" spans="1:14" ht="15.75" customHeight="1" x14ac:dyDescent="0.35">
      <c r="A422" s="11">
        <v>417</v>
      </c>
      <c r="B422" s="8" t="s">
        <v>104</v>
      </c>
      <c r="C422" s="8" t="s">
        <v>20</v>
      </c>
      <c r="D422" s="8">
        <v>8569</v>
      </c>
      <c r="E422" s="8" t="s">
        <v>544</v>
      </c>
      <c r="F422" s="9">
        <v>810001369</v>
      </c>
      <c r="G422" s="10" t="s">
        <v>547</v>
      </c>
      <c r="H422" s="3">
        <v>1200</v>
      </c>
      <c r="I422" s="4">
        <v>80000</v>
      </c>
      <c r="J422" s="5">
        <v>17989</v>
      </c>
      <c r="K422" s="6">
        <v>18</v>
      </c>
      <c r="L422" s="6">
        <f t="shared" si="7"/>
        <v>21227.02</v>
      </c>
      <c r="M422" s="13">
        <f>L422/1000*15</f>
        <v>318.40530000000001</v>
      </c>
      <c r="N422" s="14"/>
    </row>
    <row r="423" spans="1:14" ht="15.75" customHeight="1" x14ac:dyDescent="0.35">
      <c r="A423" s="11">
        <v>418</v>
      </c>
      <c r="B423" s="8" t="s">
        <v>19</v>
      </c>
      <c r="C423" s="8" t="s">
        <v>23</v>
      </c>
      <c r="D423" s="8">
        <v>8073</v>
      </c>
      <c r="E423" s="8" t="s">
        <v>548</v>
      </c>
      <c r="F423" s="9">
        <v>810000967</v>
      </c>
      <c r="G423" s="10" t="s">
        <v>549</v>
      </c>
      <c r="H423" s="3">
        <v>9100</v>
      </c>
      <c r="I423" s="4">
        <v>1820</v>
      </c>
      <c r="J423" s="5">
        <v>1128</v>
      </c>
      <c r="K423" s="6">
        <v>18</v>
      </c>
      <c r="L423" s="6">
        <f t="shared" si="7"/>
        <v>1331.04</v>
      </c>
      <c r="M423" s="13">
        <f>L423*5</f>
        <v>6655.2</v>
      </c>
      <c r="N423" s="14"/>
    </row>
    <row r="424" spans="1:14" ht="15.75" customHeight="1" x14ac:dyDescent="0.35">
      <c r="A424" s="11">
        <v>419</v>
      </c>
      <c r="B424" s="8" t="s">
        <v>19</v>
      </c>
      <c r="C424" s="8" t="s">
        <v>23</v>
      </c>
      <c r="D424" s="8">
        <v>8073</v>
      </c>
      <c r="E424" s="8" t="s">
        <v>548</v>
      </c>
      <c r="F424" s="9">
        <v>810000965</v>
      </c>
      <c r="G424" s="10" t="s">
        <v>550</v>
      </c>
      <c r="H424" s="3">
        <v>1985</v>
      </c>
      <c r="I424" s="4">
        <v>1985</v>
      </c>
      <c r="J424" s="5">
        <v>1154</v>
      </c>
      <c r="K424" s="6">
        <v>18</v>
      </c>
      <c r="L424" s="6">
        <f t="shared" si="7"/>
        <v>1361.72</v>
      </c>
      <c r="M424" s="13">
        <f>L424/1</f>
        <v>1361.72</v>
      </c>
      <c r="N424" s="14"/>
    </row>
    <row r="425" spans="1:14" ht="15.75" customHeight="1" x14ac:dyDescent="0.35">
      <c r="A425" s="11">
        <v>420</v>
      </c>
      <c r="B425" s="8" t="s">
        <v>19</v>
      </c>
      <c r="C425" s="8" t="s">
        <v>23</v>
      </c>
      <c r="D425" s="8">
        <v>8073</v>
      </c>
      <c r="E425" s="8" t="s">
        <v>548</v>
      </c>
      <c r="F425" s="9">
        <v>810000966</v>
      </c>
      <c r="G425" s="10" t="s">
        <v>551</v>
      </c>
      <c r="H425" s="3">
        <v>1060</v>
      </c>
      <c r="I425" s="4">
        <v>2120</v>
      </c>
      <c r="J425" s="5">
        <v>1192</v>
      </c>
      <c r="K425" s="6">
        <v>18</v>
      </c>
      <c r="L425" s="6">
        <f t="shared" si="7"/>
        <v>1406.56</v>
      </c>
      <c r="M425" s="13">
        <f>L425/2</f>
        <v>703.28</v>
      </c>
      <c r="N425" s="14"/>
    </row>
    <row r="426" spans="1:14" ht="15.75" customHeight="1" x14ac:dyDescent="0.35">
      <c r="A426" s="11">
        <v>421</v>
      </c>
      <c r="B426" s="8" t="s">
        <v>19</v>
      </c>
      <c r="C426" s="8" t="s">
        <v>23</v>
      </c>
      <c r="D426" s="8">
        <v>8073</v>
      </c>
      <c r="E426" s="8" t="s">
        <v>548</v>
      </c>
      <c r="F426" s="9">
        <v>810000325</v>
      </c>
      <c r="G426" s="10" t="s">
        <v>552</v>
      </c>
      <c r="H426" s="3">
        <v>595</v>
      </c>
      <c r="I426" s="4">
        <v>2380</v>
      </c>
      <c r="J426" s="5">
        <v>1239</v>
      </c>
      <c r="K426" s="6">
        <v>18</v>
      </c>
      <c r="L426" s="6">
        <f t="shared" si="7"/>
        <v>1462.02</v>
      </c>
      <c r="M426" s="13">
        <f>L426/4</f>
        <v>365.505</v>
      </c>
      <c r="N426" s="14"/>
    </row>
    <row r="427" spans="1:14" ht="15.75" customHeight="1" x14ac:dyDescent="0.35">
      <c r="A427" s="11">
        <v>422</v>
      </c>
      <c r="B427" s="8" t="s">
        <v>19</v>
      </c>
      <c r="C427" s="8" t="s">
        <v>23</v>
      </c>
      <c r="D427" s="8">
        <v>8073</v>
      </c>
      <c r="E427" s="8" t="s">
        <v>548</v>
      </c>
      <c r="F427" s="9">
        <v>810001005</v>
      </c>
      <c r="G427" s="10" t="s">
        <v>553</v>
      </c>
      <c r="H427" s="3">
        <v>275</v>
      </c>
      <c r="I427" s="4">
        <v>2750</v>
      </c>
      <c r="J427" s="5">
        <v>1371</v>
      </c>
      <c r="K427" s="6">
        <v>18</v>
      </c>
      <c r="L427" s="6">
        <f t="shared" si="7"/>
        <v>1617.78</v>
      </c>
      <c r="M427" s="13">
        <f>L427/10</f>
        <v>161.77799999999999</v>
      </c>
      <c r="N427" s="14"/>
    </row>
    <row r="428" spans="1:14" ht="15.75" customHeight="1" x14ac:dyDescent="0.35">
      <c r="A428" s="11">
        <v>423</v>
      </c>
      <c r="B428" s="8" t="s">
        <v>19</v>
      </c>
      <c r="C428" s="8" t="s">
        <v>13</v>
      </c>
      <c r="D428" s="8">
        <v>8074</v>
      </c>
      <c r="E428" s="8" t="s">
        <v>554</v>
      </c>
      <c r="F428" s="9">
        <v>810000953</v>
      </c>
      <c r="G428" s="10" t="s">
        <v>555</v>
      </c>
      <c r="H428" s="3">
        <v>600</v>
      </c>
      <c r="I428" s="4">
        <v>2400</v>
      </c>
      <c r="J428" s="5">
        <v>1217</v>
      </c>
      <c r="K428" s="6">
        <v>18</v>
      </c>
      <c r="L428" s="6">
        <f t="shared" si="7"/>
        <v>1436.06</v>
      </c>
      <c r="M428" s="13">
        <f>L428/4</f>
        <v>359.01499999999999</v>
      </c>
      <c r="N428" s="14"/>
    </row>
    <row r="429" spans="1:14" ht="15.75" customHeight="1" x14ac:dyDescent="0.35">
      <c r="A429" s="11">
        <v>424</v>
      </c>
      <c r="B429" s="8" t="s">
        <v>19</v>
      </c>
      <c r="C429" s="8" t="s">
        <v>13</v>
      </c>
      <c r="D429" s="8">
        <v>8074</v>
      </c>
      <c r="E429" s="8" t="s">
        <v>554</v>
      </c>
      <c r="F429" s="9">
        <v>810000770</v>
      </c>
      <c r="G429" s="10" t="s">
        <v>556</v>
      </c>
      <c r="H429" s="3">
        <v>300</v>
      </c>
      <c r="I429" s="4">
        <v>2500</v>
      </c>
      <c r="J429" s="5">
        <v>1270</v>
      </c>
      <c r="K429" s="6">
        <v>18</v>
      </c>
      <c r="L429" s="6">
        <f t="shared" si="7"/>
        <v>1498.6</v>
      </c>
      <c r="M429" s="13">
        <f>L429/1000*120</f>
        <v>179.83199999999999</v>
      </c>
      <c r="N429" s="14"/>
    </row>
    <row r="430" spans="1:14" ht="15.75" customHeight="1" x14ac:dyDescent="0.35">
      <c r="A430" s="11">
        <v>425</v>
      </c>
      <c r="B430" s="8" t="s">
        <v>19</v>
      </c>
      <c r="C430" s="8" t="s">
        <v>20</v>
      </c>
      <c r="D430" s="8">
        <v>8079</v>
      </c>
      <c r="E430" s="8" t="s">
        <v>557</v>
      </c>
      <c r="F430" s="9">
        <v>810000571</v>
      </c>
      <c r="G430" s="10" t="s">
        <v>558</v>
      </c>
      <c r="H430" s="3">
        <v>300</v>
      </c>
      <c r="I430" s="4">
        <v>3750</v>
      </c>
      <c r="J430" s="5">
        <v>1111</v>
      </c>
      <c r="K430" s="6">
        <v>18</v>
      </c>
      <c r="L430" s="6">
        <f t="shared" si="7"/>
        <v>1310.98</v>
      </c>
      <c r="M430" s="13">
        <f>L430/1000*80</f>
        <v>104.8784</v>
      </c>
      <c r="N430" s="14"/>
    </row>
    <row r="431" spans="1:14" ht="15.75" customHeight="1" x14ac:dyDescent="0.35">
      <c r="A431" s="11">
        <v>426</v>
      </c>
      <c r="B431" s="8" t="s">
        <v>19</v>
      </c>
      <c r="C431" s="8" t="s">
        <v>20</v>
      </c>
      <c r="D431" s="8">
        <v>8079</v>
      </c>
      <c r="E431" s="8" t="s">
        <v>557</v>
      </c>
      <c r="F431" s="9">
        <v>810001068</v>
      </c>
      <c r="G431" s="10" t="s">
        <v>559</v>
      </c>
      <c r="H431" s="3">
        <v>85</v>
      </c>
      <c r="I431" s="4">
        <v>4250</v>
      </c>
      <c r="J431" s="5">
        <v>1217</v>
      </c>
      <c r="K431" s="6">
        <v>18</v>
      </c>
      <c r="L431" s="6">
        <f t="shared" si="7"/>
        <v>1436.06</v>
      </c>
      <c r="M431" s="13">
        <f>L431/1000*20</f>
        <v>28.721199999999996</v>
      </c>
      <c r="N431" s="14"/>
    </row>
    <row r="432" spans="1:14" ht="15.75" customHeight="1" x14ac:dyDescent="0.35">
      <c r="A432" s="11">
        <v>427</v>
      </c>
      <c r="B432" s="8" t="s">
        <v>104</v>
      </c>
      <c r="C432" s="8"/>
      <c r="D432" s="8">
        <v>8633</v>
      </c>
      <c r="E432" s="8" t="s">
        <v>562</v>
      </c>
      <c r="F432" s="9">
        <v>810001610</v>
      </c>
      <c r="G432" s="10" t="s">
        <v>563</v>
      </c>
      <c r="H432" s="3">
        <v>2600</v>
      </c>
      <c r="I432" s="4">
        <v>5200</v>
      </c>
      <c r="J432" s="5">
        <v>1905</v>
      </c>
      <c r="K432" s="6">
        <v>18</v>
      </c>
      <c r="L432" s="6">
        <f t="shared" si="7"/>
        <v>2247.9</v>
      </c>
      <c r="M432" s="13">
        <f>L432/2</f>
        <v>1123.95</v>
      </c>
      <c r="N432" s="14"/>
    </row>
    <row r="433" spans="1:14" ht="15.75" customHeight="1" x14ac:dyDescent="0.35">
      <c r="A433" s="11">
        <v>428</v>
      </c>
      <c r="B433" s="8" t="s">
        <v>104</v>
      </c>
      <c r="C433" s="8"/>
      <c r="D433" s="8">
        <v>8633</v>
      </c>
      <c r="E433" s="8" t="s">
        <v>562</v>
      </c>
      <c r="F433" s="9">
        <v>810001611</v>
      </c>
      <c r="G433" s="10" t="s">
        <v>564</v>
      </c>
      <c r="H433" s="3">
        <v>1400</v>
      </c>
      <c r="I433" s="4">
        <v>5600</v>
      </c>
      <c r="J433" s="5">
        <v>1984</v>
      </c>
      <c r="K433" s="6">
        <v>18</v>
      </c>
      <c r="L433" s="6">
        <f t="shared" si="7"/>
        <v>2341.12</v>
      </c>
      <c r="M433" s="13">
        <f>L433/4</f>
        <v>585.28</v>
      </c>
      <c r="N433" s="14"/>
    </row>
    <row r="434" spans="1:14" ht="15.75" customHeight="1" x14ac:dyDescent="0.35">
      <c r="A434" s="11">
        <v>429</v>
      </c>
      <c r="B434" s="8" t="s">
        <v>104</v>
      </c>
      <c r="C434" s="8"/>
      <c r="D434" s="8">
        <v>8633</v>
      </c>
      <c r="E434" s="8" t="s">
        <v>562</v>
      </c>
      <c r="F434" s="9">
        <v>810001612</v>
      </c>
      <c r="G434" s="10" t="s">
        <v>565</v>
      </c>
      <c r="H434" s="3">
        <v>600</v>
      </c>
      <c r="I434" s="4">
        <v>6000</v>
      </c>
      <c r="J434" s="5">
        <v>2090</v>
      </c>
      <c r="K434" s="6">
        <v>18</v>
      </c>
      <c r="L434" s="6">
        <f t="shared" si="7"/>
        <v>2466.1999999999998</v>
      </c>
      <c r="M434" s="13">
        <f>L434/10</f>
        <v>246.61999999999998</v>
      </c>
      <c r="N434" s="14"/>
    </row>
    <row r="435" spans="1:14" ht="15.75" customHeight="1" x14ac:dyDescent="0.35">
      <c r="A435" s="11">
        <v>430</v>
      </c>
      <c r="B435" s="8" t="s">
        <v>104</v>
      </c>
      <c r="C435" s="8"/>
      <c r="D435" s="8">
        <v>8629</v>
      </c>
      <c r="E435" s="8" t="s">
        <v>566</v>
      </c>
      <c r="F435" s="9">
        <v>810001600</v>
      </c>
      <c r="G435" s="10" t="s">
        <v>567</v>
      </c>
      <c r="H435" s="3">
        <v>6300</v>
      </c>
      <c r="I435" s="4">
        <v>1800</v>
      </c>
      <c r="J435" s="5">
        <v>735</v>
      </c>
      <c r="K435" s="6">
        <v>18</v>
      </c>
      <c r="L435" s="6">
        <f t="shared" si="7"/>
        <v>867.3</v>
      </c>
      <c r="M435" s="13">
        <f>L435*3.5</f>
        <v>3035.5499999999997</v>
      </c>
      <c r="N435" s="14"/>
    </row>
    <row r="436" spans="1:14" ht="15.75" customHeight="1" x14ac:dyDescent="0.35">
      <c r="A436" s="11">
        <v>431</v>
      </c>
      <c r="B436" s="8" t="s">
        <v>104</v>
      </c>
      <c r="C436" s="8"/>
      <c r="D436" s="8">
        <v>8629</v>
      </c>
      <c r="E436" s="8" t="s">
        <v>566</v>
      </c>
      <c r="F436" s="9">
        <v>810001601</v>
      </c>
      <c r="G436" s="10" t="s">
        <v>568</v>
      </c>
      <c r="H436" s="3">
        <v>2660</v>
      </c>
      <c r="I436" s="4">
        <v>1900</v>
      </c>
      <c r="J436" s="5">
        <v>757</v>
      </c>
      <c r="K436" s="6">
        <v>18</v>
      </c>
      <c r="L436" s="6">
        <f t="shared" si="7"/>
        <v>893.26</v>
      </c>
      <c r="M436" s="13">
        <f>L436*1.4</f>
        <v>1250.5639999999999</v>
      </c>
      <c r="N436" s="14"/>
    </row>
    <row r="437" spans="1:14" ht="15.75" customHeight="1" x14ac:dyDescent="0.35">
      <c r="A437" s="11">
        <v>432</v>
      </c>
      <c r="B437" s="8" t="s">
        <v>104</v>
      </c>
      <c r="C437" s="8"/>
      <c r="D437" s="8">
        <v>8629</v>
      </c>
      <c r="E437" s="8" t="s">
        <v>566</v>
      </c>
      <c r="F437" s="9">
        <v>810001602</v>
      </c>
      <c r="G437" s="10" t="s">
        <v>569</v>
      </c>
      <c r="H437" s="3">
        <v>1400</v>
      </c>
      <c r="I437" s="4">
        <v>2000</v>
      </c>
      <c r="J437" s="5">
        <v>783</v>
      </c>
      <c r="K437" s="6">
        <v>18</v>
      </c>
      <c r="L437" s="6">
        <f t="shared" si="7"/>
        <v>923.93999999999994</v>
      </c>
      <c r="M437" s="13">
        <f>L437/1000*700</f>
        <v>646.75800000000004</v>
      </c>
      <c r="N437" s="14"/>
    </row>
    <row r="438" spans="1:14" ht="15.75" customHeight="1" x14ac:dyDescent="0.35">
      <c r="A438" s="11">
        <v>433</v>
      </c>
      <c r="B438" s="8" t="s">
        <v>104</v>
      </c>
      <c r="C438" s="8"/>
      <c r="D438" s="8">
        <v>8632</v>
      </c>
      <c r="E438" s="8" t="s">
        <v>570</v>
      </c>
      <c r="F438" s="9">
        <v>810001606</v>
      </c>
      <c r="G438" s="10" t="s">
        <v>571</v>
      </c>
      <c r="H438" s="3">
        <v>3100</v>
      </c>
      <c r="I438" s="4">
        <v>3100</v>
      </c>
      <c r="J438" s="5">
        <v>1270</v>
      </c>
      <c r="K438" s="6">
        <v>18</v>
      </c>
      <c r="L438" s="6">
        <f t="shared" si="7"/>
        <v>1498.6</v>
      </c>
      <c r="M438" s="13">
        <f>L438*1</f>
        <v>1498.6</v>
      </c>
      <c r="N438" s="14"/>
    </row>
    <row r="439" spans="1:14" ht="15.75" customHeight="1" x14ac:dyDescent="0.35">
      <c r="A439" s="11">
        <v>434</v>
      </c>
      <c r="B439" s="8" t="s">
        <v>104</v>
      </c>
      <c r="C439" s="8"/>
      <c r="D439" s="8">
        <v>8632</v>
      </c>
      <c r="E439" s="8" t="s">
        <v>570</v>
      </c>
      <c r="F439" s="9">
        <v>810001607</v>
      </c>
      <c r="G439" s="10" t="s">
        <v>572</v>
      </c>
      <c r="H439" s="3">
        <v>1600</v>
      </c>
      <c r="I439" s="4">
        <v>3200</v>
      </c>
      <c r="J439" s="5">
        <v>1296</v>
      </c>
      <c r="K439" s="6">
        <v>18</v>
      </c>
      <c r="L439" s="6">
        <f t="shared" si="7"/>
        <v>1529.28</v>
      </c>
      <c r="M439" s="13">
        <f>L439/2</f>
        <v>764.64</v>
      </c>
      <c r="N439" s="14"/>
    </row>
    <row r="440" spans="1:14" ht="15.75" customHeight="1" x14ac:dyDescent="0.35">
      <c r="A440" s="11">
        <v>435</v>
      </c>
      <c r="B440" s="8" t="s">
        <v>104</v>
      </c>
      <c r="C440" s="8"/>
      <c r="D440" s="8">
        <v>8632</v>
      </c>
      <c r="E440" s="8" t="s">
        <v>570</v>
      </c>
      <c r="F440" s="9">
        <v>810001608</v>
      </c>
      <c r="G440" s="10" t="s">
        <v>573</v>
      </c>
      <c r="H440" s="3">
        <v>900</v>
      </c>
      <c r="I440" s="4">
        <v>3600</v>
      </c>
      <c r="J440" s="5">
        <v>1349</v>
      </c>
      <c r="K440" s="6">
        <v>18</v>
      </c>
      <c r="L440" s="6">
        <f t="shared" si="7"/>
        <v>1591.82</v>
      </c>
      <c r="M440" s="13">
        <f>L440/4</f>
        <v>397.95499999999998</v>
      </c>
      <c r="N440" s="14"/>
    </row>
    <row r="441" spans="1:14" ht="15.75" customHeight="1" x14ac:dyDescent="0.35">
      <c r="A441" s="11">
        <v>436</v>
      </c>
      <c r="B441" s="8" t="s">
        <v>104</v>
      </c>
      <c r="C441" s="8"/>
      <c r="D441" s="8">
        <v>8632</v>
      </c>
      <c r="E441" s="8" t="s">
        <v>570</v>
      </c>
      <c r="F441" s="9">
        <v>810001609</v>
      </c>
      <c r="G441" s="10" t="s">
        <v>574</v>
      </c>
      <c r="H441" s="3">
        <v>400</v>
      </c>
      <c r="I441" s="4">
        <v>4000</v>
      </c>
      <c r="J441" s="5">
        <v>1429</v>
      </c>
      <c r="K441" s="6">
        <v>18</v>
      </c>
      <c r="L441" s="6">
        <f t="shared" si="7"/>
        <v>1686.2199999999998</v>
      </c>
      <c r="M441" s="13">
        <f>L441/10</f>
        <v>168.62199999999999</v>
      </c>
      <c r="N441" s="14"/>
    </row>
    <row r="442" spans="1:14" x14ac:dyDescent="0.35">
      <c r="A442" s="11">
        <v>437</v>
      </c>
      <c r="B442" s="8"/>
      <c r="C442" s="8"/>
      <c r="D442" s="8">
        <v>8631</v>
      </c>
      <c r="E442" s="8" t="s">
        <v>575</v>
      </c>
      <c r="F442" s="9">
        <v>810001603</v>
      </c>
      <c r="G442" s="10" t="s">
        <v>576</v>
      </c>
      <c r="H442" s="3">
        <v>6161</v>
      </c>
      <c r="I442" s="4">
        <v>6161</v>
      </c>
      <c r="J442" s="5">
        <v>3292</v>
      </c>
      <c r="K442" s="6">
        <v>18</v>
      </c>
      <c r="L442" s="6">
        <f t="shared" ref="L442:L444" si="9">J442*(100+K442)%</f>
        <v>3884.56</v>
      </c>
      <c r="M442" s="13">
        <f>L442/1</f>
        <v>3884.56</v>
      </c>
      <c r="N442" s="14"/>
    </row>
    <row r="443" spans="1:14" x14ac:dyDescent="0.35">
      <c r="A443" s="11">
        <v>438</v>
      </c>
      <c r="B443" s="8"/>
      <c r="C443" s="8"/>
      <c r="D443" s="8">
        <v>8631</v>
      </c>
      <c r="E443" s="8" t="s">
        <v>575</v>
      </c>
      <c r="F443" s="9">
        <v>810001604</v>
      </c>
      <c r="G443" s="10" t="s">
        <v>577</v>
      </c>
      <c r="H443" s="3">
        <v>2525</v>
      </c>
      <c r="I443" s="4">
        <v>6312.5</v>
      </c>
      <c r="J443" s="5">
        <v>3344</v>
      </c>
      <c r="K443" s="6">
        <v>18</v>
      </c>
      <c r="L443" s="6">
        <f t="shared" si="9"/>
        <v>3945.9199999999996</v>
      </c>
      <c r="M443" s="13">
        <f>L443/1000*400</f>
        <v>1578.3679999999999</v>
      </c>
      <c r="N443" s="14"/>
    </row>
    <row r="444" spans="1:14" x14ac:dyDescent="0.35">
      <c r="A444" s="11">
        <v>439</v>
      </c>
      <c r="B444" s="8"/>
      <c r="C444" s="8"/>
      <c r="D444" s="8">
        <v>8631</v>
      </c>
      <c r="E444" s="8" t="s">
        <v>575</v>
      </c>
      <c r="F444" s="9">
        <v>810001605</v>
      </c>
      <c r="G444" s="10" t="s">
        <v>578</v>
      </c>
      <c r="H444" s="3">
        <v>1313</v>
      </c>
      <c r="I444" s="4">
        <v>6565</v>
      </c>
      <c r="J444" s="5">
        <v>3396</v>
      </c>
      <c r="K444" s="6">
        <v>18</v>
      </c>
      <c r="L444" s="6">
        <f t="shared" si="9"/>
        <v>4007.2799999999997</v>
      </c>
      <c r="M444" s="13">
        <f>L444/1000*200</f>
        <v>801.4559999999999</v>
      </c>
      <c r="N444" s="14"/>
    </row>
    <row r="445" spans="1:14" x14ac:dyDescent="0.35">
      <c r="A445" s="11">
        <v>440</v>
      </c>
      <c r="B445" s="8"/>
      <c r="C445" s="8"/>
      <c r="D445" s="8">
        <v>8638</v>
      </c>
      <c r="E445" s="8" t="s">
        <v>582</v>
      </c>
      <c r="F445" s="9">
        <v>810001623</v>
      </c>
      <c r="G445" s="10" t="s">
        <v>583</v>
      </c>
      <c r="H445" s="3">
        <v>6000</v>
      </c>
      <c r="I445" s="4">
        <v>6000</v>
      </c>
      <c r="J445" s="5">
        <v>2800</v>
      </c>
      <c r="K445" s="6">
        <v>18</v>
      </c>
      <c r="L445" s="6">
        <f t="shared" ref="L445:L450" si="10">J445*(100+K445)%</f>
        <v>3304</v>
      </c>
      <c r="M445" s="13">
        <f>L445/1</f>
        <v>3304</v>
      </c>
      <c r="N445" s="14"/>
    </row>
    <row r="446" spans="1:14" x14ac:dyDescent="0.35">
      <c r="A446" s="11">
        <v>441</v>
      </c>
      <c r="B446" s="8"/>
      <c r="C446" s="8"/>
      <c r="D446" s="8">
        <v>8638</v>
      </c>
      <c r="E446" s="8" t="s">
        <v>582</v>
      </c>
      <c r="F446" s="9">
        <v>810001624</v>
      </c>
      <c r="G446" s="10" t="s">
        <v>584</v>
      </c>
      <c r="H446" s="3">
        <v>3100</v>
      </c>
      <c r="I446" s="4">
        <v>6200</v>
      </c>
      <c r="J446" s="5">
        <v>2853</v>
      </c>
      <c r="K446" s="6">
        <v>18</v>
      </c>
      <c r="L446" s="6">
        <f t="shared" si="10"/>
        <v>3366.54</v>
      </c>
      <c r="M446" s="13">
        <f>L446/2</f>
        <v>1683.27</v>
      </c>
      <c r="N446" s="14"/>
    </row>
    <row r="447" spans="1:14" x14ac:dyDescent="0.35">
      <c r="A447" s="11">
        <v>442</v>
      </c>
      <c r="B447" s="8"/>
      <c r="C447" s="8"/>
      <c r="D447" s="8">
        <v>8638</v>
      </c>
      <c r="E447" s="8" t="s">
        <v>582</v>
      </c>
      <c r="F447" s="9">
        <v>810001625</v>
      </c>
      <c r="G447" s="10" t="s">
        <v>585</v>
      </c>
      <c r="H447" s="3">
        <v>1300</v>
      </c>
      <c r="I447" s="4">
        <v>6500</v>
      </c>
      <c r="J447" s="5">
        <v>2958</v>
      </c>
      <c r="K447" s="6">
        <v>18</v>
      </c>
      <c r="L447" s="6">
        <f t="shared" si="10"/>
        <v>3490.4399999999996</v>
      </c>
      <c r="M447" s="13">
        <f t="shared" ref="M447" si="11">L447/1000*200</f>
        <v>698.08799999999997</v>
      </c>
      <c r="N447" s="14"/>
    </row>
    <row r="448" spans="1:14" x14ac:dyDescent="0.35">
      <c r="A448" s="11">
        <v>443</v>
      </c>
      <c r="B448" s="8"/>
      <c r="C448" s="8"/>
      <c r="D448" s="8">
        <v>8638</v>
      </c>
      <c r="E448" s="8" t="s">
        <v>582</v>
      </c>
      <c r="F448" s="9">
        <v>810001626</v>
      </c>
      <c r="G448" s="10" t="s">
        <v>586</v>
      </c>
      <c r="H448" s="3">
        <v>700</v>
      </c>
      <c r="I448" s="4">
        <v>7000</v>
      </c>
      <c r="J448" s="5">
        <v>3117</v>
      </c>
      <c r="K448" s="6">
        <v>18</v>
      </c>
      <c r="L448" s="6">
        <f t="shared" si="10"/>
        <v>3678.06</v>
      </c>
      <c r="M448" s="13">
        <f>L448/1000*100</f>
        <v>367.80599999999998</v>
      </c>
      <c r="N448" s="14"/>
    </row>
    <row r="449" spans="1:14" x14ac:dyDescent="0.35">
      <c r="A449" s="11">
        <v>444</v>
      </c>
      <c r="B449" s="8"/>
      <c r="C449" s="8"/>
      <c r="D449" s="8">
        <v>8638</v>
      </c>
      <c r="E449" s="8" t="s">
        <v>582</v>
      </c>
      <c r="F449" s="9">
        <v>810001627</v>
      </c>
      <c r="G449" s="10" t="s">
        <v>587</v>
      </c>
      <c r="H449" s="3">
        <v>400</v>
      </c>
      <c r="I449" s="4">
        <v>8000</v>
      </c>
      <c r="J449" s="5">
        <v>3434</v>
      </c>
      <c r="K449" s="6">
        <v>18</v>
      </c>
      <c r="L449" s="6">
        <f t="shared" si="10"/>
        <v>4052.12</v>
      </c>
      <c r="M449" s="13">
        <f>L449/1000*50</f>
        <v>202.60599999999997</v>
      </c>
      <c r="N449" s="14"/>
    </row>
    <row r="450" spans="1:14" x14ac:dyDescent="0.35">
      <c r="A450" s="11">
        <v>445</v>
      </c>
      <c r="B450" s="8" t="s">
        <v>19</v>
      </c>
      <c r="C450" s="8" t="s">
        <v>23</v>
      </c>
      <c r="D450" s="8">
        <v>8020</v>
      </c>
      <c r="E450" s="8" t="s">
        <v>588</v>
      </c>
      <c r="F450" s="9">
        <v>810000347</v>
      </c>
      <c r="G450" s="10" t="s">
        <v>589</v>
      </c>
      <c r="H450" s="3">
        <v>900</v>
      </c>
      <c r="I450" s="4">
        <v>6000</v>
      </c>
      <c r="J450" s="5">
        <v>2460</v>
      </c>
      <c r="K450" s="6">
        <v>18</v>
      </c>
      <c r="L450" s="6">
        <f t="shared" si="10"/>
        <v>2902.7999999999997</v>
      </c>
      <c r="M450" s="13">
        <f>L450/1000*150</f>
        <v>435.41999999999996</v>
      </c>
      <c r="N450" s="14"/>
    </row>
    <row r="451" spans="1:14" x14ac:dyDescent="0.35">
      <c r="A451" s="11">
        <v>446</v>
      </c>
      <c r="B451" s="8"/>
      <c r="C451" s="8"/>
      <c r="D451" s="8">
        <v>8642</v>
      </c>
      <c r="E451" s="8" t="s">
        <v>590</v>
      </c>
      <c r="F451" s="9">
        <v>810001639</v>
      </c>
      <c r="G451" s="10" t="s">
        <v>591</v>
      </c>
      <c r="H451" s="3">
        <v>2200</v>
      </c>
      <c r="I451" s="4">
        <v>2200</v>
      </c>
      <c r="J451" s="5">
        <v>1201</v>
      </c>
      <c r="K451" s="6">
        <v>18</v>
      </c>
      <c r="L451" s="6">
        <f t="shared" ref="L451:L459" si="12">J451*(100+K451)%</f>
        <v>1417.1799999999998</v>
      </c>
      <c r="M451" s="13">
        <f>L451/1</f>
        <v>1417.1799999999998</v>
      </c>
      <c r="N451" s="14"/>
    </row>
    <row r="452" spans="1:14" x14ac:dyDescent="0.35">
      <c r="A452" s="11">
        <v>447</v>
      </c>
      <c r="B452" s="8"/>
      <c r="C452" s="8"/>
      <c r="D452" s="8">
        <v>8639</v>
      </c>
      <c r="E452" s="8" t="s">
        <v>594</v>
      </c>
      <c r="F452" s="9">
        <v>810001628</v>
      </c>
      <c r="G452" s="10" t="s">
        <v>595</v>
      </c>
      <c r="H452" s="3">
        <v>13320</v>
      </c>
      <c r="I452" s="4">
        <v>10000</v>
      </c>
      <c r="J452" s="5">
        <v>2398</v>
      </c>
      <c r="K452" s="6">
        <v>18</v>
      </c>
      <c r="L452" s="6">
        <f t="shared" si="12"/>
        <v>2829.64</v>
      </c>
      <c r="M452" s="13">
        <f>L452*1.332</f>
        <v>3769.0804800000001</v>
      </c>
      <c r="N452" s="14" t="s">
        <v>593</v>
      </c>
    </row>
    <row r="453" spans="1:14" x14ac:dyDescent="0.35">
      <c r="A453" s="11">
        <v>448</v>
      </c>
      <c r="B453" s="8"/>
      <c r="C453" s="8"/>
      <c r="D453" s="8">
        <v>8639</v>
      </c>
      <c r="E453" s="8" t="s">
        <v>594</v>
      </c>
      <c r="F453" s="9">
        <v>810001629</v>
      </c>
      <c r="G453" s="10" t="s">
        <v>596</v>
      </c>
      <c r="H453" s="3">
        <v>7326</v>
      </c>
      <c r="I453" s="4">
        <v>11000</v>
      </c>
      <c r="J453" s="5">
        <v>2449</v>
      </c>
      <c r="K453" s="6">
        <v>18</v>
      </c>
      <c r="L453" s="6">
        <f t="shared" si="12"/>
        <v>2889.8199999999997</v>
      </c>
      <c r="M453" s="13">
        <f>L453/1000*666</f>
        <v>1924.6201199999998</v>
      </c>
      <c r="N453" s="14" t="s">
        <v>593</v>
      </c>
    </row>
    <row r="454" spans="1:14" x14ac:dyDescent="0.35">
      <c r="A454" s="11">
        <v>449</v>
      </c>
      <c r="B454" s="8"/>
      <c r="C454" s="8"/>
      <c r="D454" s="8">
        <v>8639</v>
      </c>
      <c r="E454" s="8" t="s">
        <v>594</v>
      </c>
      <c r="F454" s="9">
        <v>810001657</v>
      </c>
      <c r="G454" s="10" t="s">
        <v>597</v>
      </c>
      <c r="H454" s="3">
        <v>3996</v>
      </c>
      <c r="I454" s="4">
        <v>12000</v>
      </c>
      <c r="J454" s="5">
        <v>2500</v>
      </c>
      <c r="K454" s="6">
        <v>18</v>
      </c>
      <c r="L454" s="6">
        <f t="shared" si="12"/>
        <v>2950</v>
      </c>
      <c r="M454" s="13">
        <f>L454/1000*333</f>
        <v>982.35</v>
      </c>
      <c r="N454" s="14" t="s">
        <v>593</v>
      </c>
    </row>
    <row r="455" spans="1:14" x14ac:dyDescent="0.35">
      <c r="A455" s="11">
        <v>450</v>
      </c>
      <c r="B455" s="8"/>
      <c r="C455" s="8"/>
      <c r="D455" s="8">
        <v>8639</v>
      </c>
      <c r="E455" s="8" t="s">
        <v>594</v>
      </c>
      <c r="F455" s="9">
        <v>810001630</v>
      </c>
      <c r="G455" s="10" t="s">
        <v>598</v>
      </c>
      <c r="H455" s="3">
        <v>1665</v>
      </c>
      <c r="I455" s="4">
        <v>12500</v>
      </c>
      <c r="J455" s="5">
        <v>2551</v>
      </c>
      <c r="K455" s="6">
        <v>18</v>
      </c>
      <c r="L455" s="6">
        <f t="shared" si="12"/>
        <v>3010.18</v>
      </c>
      <c r="M455" s="13">
        <f>L455/1000*133.2</f>
        <v>400.95597599999991</v>
      </c>
      <c r="N455" s="14" t="s">
        <v>593</v>
      </c>
    </row>
    <row r="456" spans="1:14" x14ac:dyDescent="0.35">
      <c r="A456" s="11">
        <v>451</v>
      </c>
      <c r="B456" s="8"/>
      <c r="C456" s="8"/>
      <c r="D456" s="8">
        <v>8643</v>
      </c>
      <c r="E456" s="8" t="s">
        <v>599</v>
      </c>
      <c r="F456" s="9">
        <v>810001640</v>
      </c>
      <c r="G456" s="10" t="s">
        <v>600</v>
      </c>
      <c r="H456" s="3">
        <v>2011</v>
      </c>
      <c r="I456" s="4">
        <v>2011</v>
      </c>
      <c r="J456" s="5">
        <v>1101</v>
      </c>
      <c r="K456" s="6">
        <v>5</v>
      </c>
      <c r="L456" s="6">
        <f t="shared" si="12"/>
        <v>1156.05</v>
      </c>
      <c r="M456" s="13">
        <f t="shared" ref="M456" si="13">L456/1</f>
        <v>1156.05</v>
      </c>
      <c r="N456" s="14"/>
    </row>
    <row r="457" spans="1:14" x14ac:dyDescent="0.35">
      <c r="A457" s="11">
        <v>452</v>
      </c>
      <c r="B457" s="8"/>
      <c r="C457" s="8"/>
      <c r="D457" s="8">
        <v>8643</v>
      </c>
      <c r="E457" s="8" t="s">
        <v>599</v>
      </c>
      <c r="F457" s="9">
        <v>810001641</v>
      </c>
      <c r="G457" s="10" t="s">
        <v>601</v>
      </c>
      <c r="H457" s="3">
        <v>1111</v>
      </c>
      <c r="I457" s="4">
        <v>2222</v>
      </c>
      <c r="J457" s="5">
        <v>1153</v>
      </c>
      <c r="K457" s="6">
        <v>5</v>
      </c>
      <c r="L457" s="6">
        <f t="shared" si="12"/>
        <v>1210.6500000000001</v>
      </c>
      <c r="M457" s="13">
        <f>L457/2</f>
        <v>605.32500000000005</v>
      </c>
      <c r="N457" s="14"/>
    </row>
    <row r="458" spans="1:14" x14ac:dyDescent="0.35">
      <c r="A458" s="11">
        <v>453</v>
      </c>
      <c r="B458" s="8"/>
      <c r="C458" s="8"/>
      <c r="D458" s="8">
        <v>8643</v>
      </c>
      <c r="E458" s="8" t="s">
        <v>599</v>
      </c>
      <c r="F458" s="9">
        <v>810001642</v>
      </c>
      <c r="G458" s="10" t="s">
        <v>602</v>
      </c>
      <c r="H458" s="3">
        <v>611</v>
      </c>
      <c r="I458" s="4">
        <v>2444</v>
      </c>
      <c r="J458" s="5">
        <v>1233</v>
      </c>
      <c r="K458" s="6">
        <v>5</v>
      </c>
      <c r="L458" s="6">
        <f t="shared" si="12"/>
        <v>1294.6500000000001</v>
      </c>
      <c r="M458" s="13">
        <f>L458/4</f>
        <v>323.66250000000002</v>
      </c>
      <c r="N458" s="14"/>
    </row>
    <row r="459" spans="1:14" x14ac:dyDescent="0.35">
      <c r="A459" s="11">
        <v>454</v>
      </c>
      <c r="B459" s="8"/>
      <c r="C459" s="8"/>
      <c r="D459" s="8">
        <v>8643</v>
      </c>
      <c r="E459" s="8" t="s">
        <v>599</v>
      </c>
      <c r="F459" s="9">
        <v>810001643</v>
      </c>
      <c r="G459" s="10" t="s">
        <v>603</v>
      </c>
      <c r="H459" s="3">
        <v>311</v>
      </c>
      <c r="I459" s="4">
        <v>3110</v>
      </c>
      <c r="J459" s="5">
        <v>1365</v>
      </c>
      <c r="K459" s="6">
        <v>5</v>
      </c>
      <c r="L459" s="6">
        <f t="shared" si="12"/>
        <v>1433.25</v>
      </c>
      <c r="M459" s="13">
        <f>L459/10</f>
        <v>143.32499999999999</v>
      </c>
      <c r="N459" s="14"/>
    </row>
  </sheetData>
  <sortState xmlns:xlrd2="http://schemas.microsoft.com/office/spreadsheetml/2017/richdata2" ref="A6:M438">
    <sortCondition ref="A6:A438"/>
  </sortState>
  <mergeCells count="1">
    <mergeCell ref="A1:L1"/>
  </mergeCells>
  <conditionalFormatting sqref="A13">
    <cfRule type="duplicateValues" dxfId="153" priority="121"/>
  </conditionalFormatting>
  <conditionalFormatting sqref="A230">
    <cfRule type="duplicateValues" dxfId="152" priority="131"/>
  </conditionalFormatting>
  <conditionalFormatting sqref="A382 A384:A385">
    <cfRule type="duplicateValues" dxfId="151" priority="125"/>
  </conditionalFormatting>
  <conditionalFormatting sqref="G7:G12 G14:G137 G139:G233 G238:G412 G414:G444">
    <cfRule type="duplicateValues" dxfId="150" priority="151"/>
  </conditionalFormatting>
  <conditionalFormatting sqref="G13">
    <cfRule type="duplicateValues" dxfId="149" priority="120"/>
  </conditionalFormatting>
  <conditionalFormatting sqref="G33">
    <cfRule type="duplicateValues" dxfId="148" priority="148"/>
  </conditionalFormatting>
  <conditionalFormatting sqref="G37">
    <cfRule type="duplicateValues" dxfId="147" priority="130"/>
  </conditionalFormatting>
  <conditionalFormatting sqref="G67:G68">
    <cfRule type="duplicateValues" dxfId="146" priority="137"/>
  </conditionalFormatting>
  <conditionalFormatting sqref="G71:G72">
    <cfRule type="duplicateValues" dxfId="145" priority="136"/>
  </conditionalFormatting>
  <conditionalFormatting sqref="G74">
    <cfRule type="duplicateValues" dxfId="144" priority="135"/>
  </conditionalFormatting>
  <conditionalFormatting sqref="G81">
    <cfRule type="duplicateValues" dxfId="143" priority="149"/>
    <cfRule type="duplicateValues" dxfId="142" priority="150"/>
  </conditionalFormatting>
  <conditionalFormatting sqref="G99">
    <cfRule type="duplicateValues" dxfId="141" priority="133"/>
  </conditionalFormatting>
  <conditionalFormatting sqref="G100">
    <cfRule type="duplicateValues" dxfId="140" priority="134"/>
  </conditionalFormatting>
  <conditionalFormatting sqref="G109:G111">
    <cfRule type="duplicateValues" dxfId="139" priority="127"/>
  </conditionalFormatting>
  <conditionalFormatting sqref="G166">
    <cfRule type="duplicateValues" dxfId="138" priority="139"/>
  </conditionalFormatting>
  <conditionalFormatting sqref="G167">
    <cfRule type="duplicateValues" dxfId="137" priority="138"/>
  </conditionalFormatting>
  <conditionalFormatting sqref="G227">
    <cfRule type="duplicateValues" dxfId="136" priority="129"/>
  </conditionalFormatting>
  <conditionalFormatting sqref="G230">
    <cfRule type="duplicateValues" dxfId="135" priority="132"/>
  </conditionalFormatting>
  <conditionalFormatting sqref="G307">
    <cfRule type="duplicateValues" dxfId="134" priority="146"/>
  </conditionalFormatting>
  <conditionalFormatting sqref="G337:G349">
    <cfRule type="duplicateValues" dxfId="133" priority="147"/>
  </conditionalFormatting>
  <conditionalFormatting sqref="G347">
    <cfRule type="duplicateValues" dxfId="132" priority="144"/>
    <cfRule type="duplicateValues" dxfId="131" priority="145"/>
  </conditionalFormatting>
  <conditionalFormatting sqref="G348">
    <cfRule type="duplicateValues" dxfId="130" priority="142"/>
    <cfRule type="duplicateValues" dxfId="129" priority="143"/>
  </conditionalFormatting>
  <conditionalFormatting sqref="G349">
    <cfRule type="duplicateValues" dxfId="128" priority="140"/>
    <cfRule type="duplicateValues" dxfId="127" priority="141"/>
  </conditionalFormatting>
  <conditionalFormatting sqref="G376:G377">
    <cfRule type="duplicateValues" dxfId="126" priority="128"/>
  </conditionalFormatting>
  <conditionalFormatting sqref="G382 G384:G385">
    <cfRule type="duplicateValues" dxfId="125" priority="123"/>
    <cfRule type="duplicateValues" dxfId="124" priority="124"/>
    <cfRule type="duplicateValues" dxfId="123" priority="126"/>
  </conditionalFormatting>
  <conditionalFormatting sqref="G386:G389">
    <cfRule type="duplicateValues" dxfId="122" priority="122"/>
  </conditionalFormatting>
  <conditionalFormatting sqref="G373">
    <cfRule type="duplicateValues" dxfId="121" priority="119"/>
  </conditionalFormatting>
  <conditionalFormatting sqref="G373">
    <cfRule type="duplicateValues" dxfId="120" priority="118"/>
  </conditionalFormatting>
  <conditionalFormatting sqref="G138">
    <cfRule type="duplicateValues" dxfId="119" priority="117"/>
  </conditionalFormatting>
  <conditionalFormatting sqref="G138">
    <cfRule type="duplicateValues" dxfId="118" priority="116"/>
  </conditionalFormatting>
  <conditionalFormatting sqref="A383">
    <cfRule type="duplicateValues" dxfId="117" priority="110"/>
  </conditionalFormatting>
  <conditionalFormatting sqref="G383">
    <cfRule type="duplicateValues" dxfId="116" priority="111"/>
  </conditionalFormatting>
  <conditionalFormatting sqref="G383">
    <cfRule type="duplicateValues" dxfId="115" priority="112"/>
  </conditionalFormatting>
  <conditionalFormatting sqref="G383">
    <cfRule type="duplicateValues" dxfId="114" priority="113"/>
    <cfRule type="duplicateValues" dxfId="113" priority="114"/>
    <cfRule type="duplicateValues" dxfId="112" priority="115"/>
  </conditionalFormatting>
  <conditionalFormatting sqref="G383">
    <cfRule type="duplicateValues" dxfId="111" priority="108"/>
  </conditionalFormatting>
  <conditionalFormatting sqref="G383">
    <cfRule type="duplicateValues" dxfId="110" priority="109"/>
  </conditionalFormatting>
  <conditionalFormatting sqref="G390:G397 G399:G412 G414:G419">
    <cfRule type="duplicateValues" dxfId="109" priority="152"/>
  </conditionalFormatting>
  <conditionalFormatting sqref="G7:G233 G238:G412 G414:G444">
    <cfRule type="duplicateValues" dxfId="108" priority="153"/>
  </conditionalFormatting>
  <conditionalFormatting sqref="G420:G438">
    <cfRule type="duplicateValues" dxfId="107" priority="105"/>
  </conditionalFormatting>
  <conditionalFormatting sqref="G420:G438">
    <cfRule type="duplicateValues" dxfId="106" priority="106"/>
  </conditionalFormatting>
  <conditionalFormatting sqref="G420:G438">
    <cfRule type="duplicateValues" dxfId="105" priority="107"/>
  </conditionalFormatting>
  <conditionalFormatting sqref="G439:G444">
    <cfRule type="duplicateValues" dxfId="104" priority="102"/>
  </conditionalFormatting>
  <conditionalFormatting sqref="G439:G444">
    <cfRule type="duplicateValues" dxfId="103" priority="103"/>
  </conditionalFormatting>
  <conditionalFormatting sqref="G439:G444">
    <cfRule type="duplicateValues" dxfId="102" priority="104"/>
  </conditionalFormatting>
  <conditionalFormatting sqref="G7:G233 G238:G412 G414:G450">
    <cfRule type="duplicateValues" dxfId="101" priority="192"/>
  </conditionalFormatting>
  <conditionalFormatting sqref="G442:G444">
    <cfRule type="duplicateValues" dxfId="100" priority="99"/>
  </conditionalFormatting>
  <conditionalFormatting sqref="G442:G444">
    <cfRule type="duplicateValues" dxfId="99" priority="100"/>
  </conditionalFormatting>
  <conditionalFormatting sqref="G442:G444">
    <cfRule type="duplicateValues" dxfId="98" priority="101"/>
  </conditionalFormatting>
  <conditionalFormatting sqref="G398">
    <cfRule type="duplicateValues" dxfId="97" priority="95"/>
  </conditionalFormatting>
  <conditionalFormatting sqref="G398">
    <cfRule type="duplicateValues" dxfId="96" priority="96"/>
  </conditionalFormatting>
  <conditionalFormatting sqref="G398">
    <cfRule type="duplicateValues" dxfId="95" priority="97"/>
  </conditionalFormatting>
  <conditionalFormatting sqref="G398">
    <cfRule type="duplicateValues" dxfId="94" priority="98"/>
  </conditionalFormatting>
  <conditionalFormatting sqref="G169:G170">
    <cfRule type="duplicateValues" dxfId="93" priority="94"/>
  </conditionalFormatting>
  <conditionalFormatting sqref="F169:F170">
    <cfRule type="duplicateValues" dxfId="92" priority="93"/>
  </conditionalFormatting>
  <conditionalFormatting sqref="G445:G449">
    <cfRule type="duplicateValues" dxfId="91" priority="89"/>
  </conditionalFormatting>
  <conditionalFormatting sqref="G445:G449">
    <cfRule type="duplicateValues" dxfId="90" priority="90"/>
  </conditionalFormatting>
  <conditionalFormatting sqref="G445:G449">
    <cfRule type="duplicateValues" dxfId="89" priority="91"/>
  </conditionalFormatting>
  <conditionalFormatting sqref="G445:G449">
    <cfRule type="duplicateValues" dxfId="88" priority="92"/>
  </conditionalFormatting>
  <conditionalFormatting sqref="F445:F449">
    <cfRule type="duplicateValues" dxfId="87" priority="88"/>
  </conditionalFormatting>
  <conditionalFormatting sqref="G445:G449">
    <cfRule type="duplicateValues" dxfId="86" priority="86"/>
  </conditionalFormatting>
  <conditionalFormatting sqref="G445:G449">
    <cfRule type="duplicateValues" dxfId="85" priority="87"/>
  </conditionalFormatting>
  <conditionalFormatting sqref="G445:G449">
    <cfRule type="duplicateValues" dxfId="84" priority="84"/>
  </conditionalFormatting>
  <conditionalFormatting sqref="G445:G449">
    <cfRule type="duplicateValues" dxfId="83" priority="85"/>
  </conditionalFormatting>
  <conditionalFormatting sqref="G445:G449">
    <cfRule type="duplicateValues" dxfId="82" priority="82"/>
  </conditionalFormatting>
  <conditionalFormatting sqref="G445:G449">
    <cfRule type="duplicateValues" dxfId="81" priority="83"/>
  </conditionalFormatting>
  <conditionalFormatting sqref="G450">
    <cfRule type="duplicateValues" dxfId="80" priority="80"/>
  </conditionalFormatting>
  <conditionalFormatting sqref="G450">
    <cfRule type="duplicateValues" dxfId="79" priority="81"/>
  </conditionalFormatting>
  <conditionalFormatting sqref="G450">
    <cfRule type="duplicateValues" dxfId="78" priority="78"/>
  </conditionalFormatting>
  <conditionalFormatting sqref="G450">
    <cfRule type="duplicateValues" dxfId="77" priority="79"/>
  </conditionalFormatting>
  <conditionalFormatting sqref="G451">
    <cfRule type="duplicateValues" dxfId="76" priority="74"/>
  </conditionalFormatting>
  <conditionalFormatting sqref="G451">
    <cfRule type="duplicateValues" dxfId="75" priority="75"/>
  </conditionalFormatting>
  <conditionalFormatting sqref="G451">
    <cfRule type="duplicateValues" dxfId="74" priority="76"/>
  </conditionalFormatting>
  <conditionalFormatting sqref="G451">
    <cfRule type="duplicateValues" dxfId="73" priority="77"/>
  </conditionalFormatting>
  <conditionalFormatting sqref="F451">
    <cfRule type="duplicateValues" dxfId="72" priority="73"/>
  </conditionalFormatting>
  <conditionalFormatting sqref="G451">
    <cfRule type="duplicateValues" dxfId="71" priority="71"/>
  </conditionalFormatting>
  <conditionalFormatting sqref="G451">
    <cfRule type="duplicateValues" dxfId="70" priority="72"/>
  </conditionalFormatting>
  <conditionalFormatting sqref="G451">
    <cfRule type="duplicateValues" dxfId="69" priority="69"/>
  </conditionalFormatting>
  <conditionalFormatting sqref="G451">
    <cfRule type="duplicateValues" dxfId="68" priority="70"/>
  </conditionalFormatting>
  <conditionalFormatting sqref="G451">
    <cfRule type="duplicateValues" dxfId="67" priority="67"/>
  </conditionalFormatting>
  <conditionalFormatting sqref="G451">
    <cfRule type="duplicateValues" dxfId="66" priority="68"/>
  </conditionalFormatting>
  <conditionalFormatting sqref="G234">
    <cfRule type="duplicateValues" dxfId="65" priority="64"/>
  </conditionalFormatting>
  <conditionalFormatting sqref="G234">
    <cfRule type="duplicateValues" dxfId="64" priority="65"/>
  </conditionalFormatting>
  <conditionalFormatting sqref="G234">
    <cfRule type="duplicateValues" dxfId="63" priority="66"/>
  </conditionalFormatting>
  <conditionalFormatting sqref="G235">
    <cfRule type="duplicateValues" dxfId="62" priority="61"/>
  </conditionalFormatting>
  <conditionalFormatting sqref="G235">
    <cfRule type="duplicateValues" dxfId="61" priority="62"/>
  </conditionalFormatting>
  <conditionalFormatting sqref="G235">
    <cfRule type="duplicateValues" dxfId="60" priority="63"/>
  </conditionalFormatting>
  <conditionalFormatting sqref="G236">
    <cfRule type="duplicateValues" dxfId="59" priority="58"/>
  </conditionalFormatting>
  <conditionalFormatting sqref="G236">
    <cfRule type="duplicateValues" dxfId="58" priority="59"/>
  </conditionalFormatting>
  <conditionalFormatting sqref="G236">
    <cfRule type="duplicateValues" dxfId="57" priority="60"/>
  </conditionalFormatting>
  <conditionalFormatting sqref="G237">
    <cfRule type="duplicateValues" dxfId="56" priority="55"/>
  </conditionalFormatting>
  <conditionalFormatting sqref="G237">
    <cfRule type="duplicateValues" dxfId="55" priority="56"/>
  </conditionalFormatting>
  <conditionalFormatting sqref="G237">
    <cfRule type="duplicateValues" dxfId="54" priority="57"/>
  </conditionalFormatting>
  <conditionalFormatting sqref="G413:G415">
    <cfRule type="duplicateValues" dxfId="53" priority="51"/>
  </conditionalFormatting>
  <conditionalFormatting sqref="G413:G415">
    <cfRule type="duplicateValues" dxfId="52" priority="52"/>
  </conditionalFormatting>
  <conditionalFormatting sqref="G413:G415">
    <cfRule type="duplicateValues" dxfId="51" priority="53"/>
  </conditionalFormatting>
  <conditionalFormatting sqref="G413:G415">
    <cfRule type="duplicateValues" dxfId="50" priority="54"/>
  </conditionalFormatting>
  <conditionalFormatting sqref="G452:G459">
    <cfRule type="duplicateValues" dxfId="49" priority="47"/>
  </conditionalFormatting>
  <conditionalFormatting sqref="G452:G459">
    <cfRule type="duplicateValues" dxfId="48" priority="48"/>
  </conditionalFormatting>
  <conditionalFormatting sqref="G452:G459">
    <cfRule type="duplicateValues" dxfId="47" priority="49"/>
  </conditionalFormatting>
  <conditionalFormatting sqref="G452:G459">
    <cfRule type="duplicateValues" dxfId="46" priority="50"/>
  </conditionalFormatting>
  <conditionalFormatting sqref="F452:F453 F455:F459">
    <cfRule type="duplicateValues" dxfId="45" priority="46"/>
  </conditionalFormatting>
  <conditionalFormatting sqref="G452:G459">
    <cfRule type="duplicateValues" dxfId="44" priority="44"/>
  </conditionalFormatting>
  <conditionalFormatting sqref="G452:G459">
    <cfRule type="duplicateValues" dxfId="43" priority="45"/>
  </conditionalFormatting>
  <conditionalFormatting sqref="G452:G459">
    <cfRule type="duplicateValues" dxfId="42" priority="42"/>
  </conditionalFormatting>
  <conditionalFormatting sqref="G452:G459">
    <cfRule type="duplicateValues" dxfId="41" priority="43"/>
  </conditionalFormatting>
  <conditionalFormatting sqref="G452:G459">
    <cfRule type="duplicateValues" dxfId="40" priority="40"/>
  </conditionalFormatting>
  <conditionalFormatting sqref="G452:G459">
    <cfRule type="duplicateValues" dxfId="39" priority="41"/>
  </conditionalFormatting>
  <conditionalFormatting sqref="F452:F453 F455:F459">
    <cfRule type="duplicateValues" dxfId="38" priority="39"/>
  </conditionalFormatting>
  <conditionalFormatting sqref="F452:F453 F455:F459">
    <cfRule type="duplicateValues" dxfId="37" priority="38"/>
  </conditionalFormatting>
  <conditionalFormatting sqref="G452:G459">
    <cfRule type="duplicateValues" dxfId="36" priority="36"/>
  </conditionalFormatting>
  <conditionalFormatting sqref="G452:G459">
    <cfRule type="duplicateValues" dxfId="35" priority="37"/>
  </conditionalFormatting>
  <conditionalFormatting sqref="G452:G459">
    <cfRule type="duplicateValues" dxfId="34" priority="34"/>
  </conditionalFormatting>
  <conditionalFormatting sqref="G452:G459">
    <cfRule type="duplicateValues" dxfId="33" priority="35"/>
  </conditionalFormatting>
  <conditionalFormatting sqref="G452:G459">
    <cfRule type="duplicateValues" dxfId="32" priority="32"/>
  </conditionalFormatting>
  <conditionalFormatting sqref="G452:G459">
    <cfRule type="duplicateValues" dxfId="31" priority="33"/>
  </conditionalFormatting>
  <conditionalFormatting sqref="G456:G459">
    <cfRule type="duplicateValues" dxfId="30" priority="30"/>
  </conditionalFormatting>
  <conditionalFormatting sqref="G456:G459">
    <cfRule type="duplicateValues" dxfId="29" priority="31"/>
  </conditionalFormatting>
  <conditionalFormatting sqref="F456:F459">
    <cfRule type="duplicateValues" dxfId="28" priority="29"/>
  </conditionalFormatting>
  <conditionalFormatting sqref="G456:G459">
    <cfRule type="duplicateValues" dxfId="27" priority="27"/>
  </conditionalFormatting>
  <conditionalFormatting sqref="G456:G459">
    <cfRule type="duplicateValues" dxfId="26" priority="28"/>
  </conditionalFormatting>
  <conditionalFormatting sqref="G456:G459">
    <cfRule type="duplicateValues" dxfId="25" priority="25"/>
  </conditionalFormatting>
  <conditionalFormatting sqref="G456:G459">
    <cfRule type="duplicateValues" dxfId="24" priority="26"/>
  </conditionalFormatting>
  <conditionalFormatting sqref="G456:G459">
    <cfRule type="duplicateValues" dxfId="23" priority="23"/>
  </conditionalFormatting>
  <conditionalFormatting sqref="G456:G459">
    <cfRule type="duplicateValues" dxfId="22" priority="24"/>
  </conditionalFormatting>
  <conditionalFormatting sqref="F456:F459">
    <cfRule type="duplicateValues" dxfId="21" priority="22"/>
  </conditionalFormatting>
  <conditionalFormatting sqref="F456:F459">
    <cfRule type="duplicateValues" dxfId="20" priority="21"/>
  </conditionalFormatting>
  <conditionalFormatting sqref="G456:G459">
    <cfRule type="duplicateValues" dxfId="19" priority="19"/>
  </conditionalFormatting>
  <conditionalFormatting sqref="G456:G459">
    <cfRule type="duplicateValues" dxfId="18" priority="20"/>
  </conditionalFormatting>
  <conditionalFormatting sqref="G456:G459">
    <cfRule type="duplicateValues" dxfId="17" priority="17"/>
  </conditionalFormatting>
  <conditionalFormatting sqref="G456:G459">
    <cfRule type="duplicateValues" dxfId="16" priority="18"/>
  </conditionalFormatting>
  <conditionalFormatting sqref="G456:G459">
    <cfRule type="duplicateValues" dxfId="15" priority="15"/>
  </conditionalFormatting>
  <conditionalFormatting sqref="G456:G459">
    <cfRule type="duplicateValues" dxfId="14" priority="16"/>
  </conditionalFormatting>
  <conditionalFormatting sqref="F456:F459">
    <cfRule type="duplicateValues" dxfId="13" priority="14"/>
  </conditionalFormatting>
  <conditionalFormatting sqref="F456:F459">
    <cfRule type="duplicateValues" dxfId="12" priority="13"/>
  </conditionalFormatting>
  <conditionalFormatting sqref="G456:G459">
    <cfRule type="duplicateValues" dxfId="11" priority="11"/>
  </conditionalFormatting>
  <conditionalFormatting sqref="G456:G459">
    <cfRule type="duplicateValues" dxfId="10" priority="12"/>
  </conditionalFormatting>
  <conditionalFormatting sqref="G456:G459">
    <cfRule type="duplicateValues" dxfId="9" priority="9"/>
  </conditionalFormatting>
  <conditionalFormatting sqref="G456:G459">
    <cfRule type="duplicateValues" dxfId="8" priority="10"/>
  </conditionalFormatting>
  <conditionalFormatting sqref="G456:G459">
    <cfRule type="duplicateValues" dxfId="7" priority="7"/>
  </conditionalFormatting>
  <conditionalFormatting sqref="G456:G459">
    <cfRule type="duplicateValues" dxfId="6" priority="8"/>
  </conditionalFormatting>
  <conditionalFormatting sqref="G6:G459">
    <cfRule type="duplicateValues" dxfId="5" priority="4"/>
  </conditionalFormatting>
  <conditionalFormatting sqref="G6:G459">
    <cfRule type="duplicateValues" dxfId="4" priority="5"/>
  </conditionalFormatting>
  <conditionalFormatting sqref="G6:G459">
    <cfRule type="duplicateValues" dxfId="3" priority="6"/>
  </conditionalFormatting>
  <conditionalFormatting sqref="F454">
    <cfRule type="duplicateValues" dxfId="2" priority="3"/>
  </conditionalFormatting>
  <conditionalFormatting sqref="F454">
    <cfRule type="duplicateValues" dxfId="1" priority="2"/>
  </conditionalFormatting>
  <conditionalFormatting sqref="F454">
    <cfRule type="duplicateValues" dxfId="0" priority="1"/>
  </conditionalFormatting>
  <pageMargins left="0.31496062992125984" right="0.31496062992125984" top="0.74803149606299213" bottom="0.74803149606299213" header="0.31496062992125984" footer="0.31496062992125984"/>
  <pageSetup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01.10.2026</vt:lpstr>
      <vt:lpstr>'01.10.2026'!Print_Titles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Bagri</dc:creator>
  <cp:lastModifiedBy>PSrinivasarao</cp:lastModifiedBy>
  <cp:lastPrinted>2026-01-06T08:52:09Z</cp:lastPrinted>
  <dcterms:created xsi:type="dcterms:W3CDTF">2021-04-14T17:20:37Z</dcterms:created>
  <dcterms:modified xsi:type="dcterms:W3CDTF">2026-10-03T02:51:48Z</dcterms:modified>
</cp:coreProperties>
</file>